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hidden" name="Sheet4" sheetId="2" r:id="rId5"/>
    <sheet state="hidden" name="Test Data Copy" sheetId="3" r:id="rId6"/>
    <sheet state="hidden" name="Test Data" sheetId="4" r:id="rId7"/>
    <sheet state="visible" name="Test Case - Sprint 1" sheetId="5" r:id="rId8"/>
    <sheet state="visible" name="Test Case - Sprint 2" sheetId="6" r:id="rId9"/>
    <sheet state="hidden" name="Test Case - Sprint 2.0" sheetId="7" r:id="rId10"/>
    <sheet state="visible" name="Test Case - Sprint 3" sheetId="8" r:id="rId11"/>
  </sheets>
  <externalReferences>
    <externalReference r:id="rId12"/>
    <externalReference r:id="rId13"/>
    <externalReference r:id="rId14"/>
    <externalReference r:id="rId15"/>
    <externalReference r:id="rId16"/>
  </externalReferences>
  <definedNames/>
  <calcPr/>
  <extLst>
    <ext uri="GoogleSheetsCustomDataVersion2">
      <go:sheetsCustomData xmlns:go="http://customooxmlschemas.google.com/" r:id="rId17" roundtripDataChecksum="BKbZTQ1yWG+x3DLgJDzEpKdkJkzjVmsKOXZg0MyQ49E="/>
    </ext>
  </extLst>
</workbook>
</file>

<file path=xl/sharedStrings.xml><?xml version="1.0" encoding="utf-8"?>
<sst xmlns="http://schemas.openxmlformats.org/spreadsheetml/2006/main" count="5837" uniqueCount="3328">
  <si>
    <t>Overall # of Test Cases</t>
  </si>
  <si>
    <t>PROGRESS TRACKER</t>
  </si>
  <si>
    <t>TOTAL SPRINT 1</t>
  </si>
  <si>
    <t>TOTAL SPRINT 2</t>
  </si>
  <si>
    <t>TOTAL SPRINT 3</t>
  </si>
  <si>
    <t>Status</t>
  </si>
  <si>
    <t>Total # of Test Case</t>
  </si>
  <si>
    <t>Not Started</t>
  </si>
  <si>
    <t>Passed</t>
  </si>
  <si>
    <t>Failed</t>
  </si>
  <si>
    <t>Re-Test</t>
  </si>
  <si>
    <t>Blocked/Skip</t>
  </si>
  <si>
    <t>Company</t>
  </si>
  <si>
    <t>Super Admin</t>
  </si>
  <si>
    <t>Sign Up</t>
  </si>
  <si>
    <t>Return Orders</t>
  </si>
  <si>
    <t>Login</t>
  </si>
  <si>
    <t>Verify Email</t>
  </si>
  <si>
    <t>Receipt Orders</t>
  </si>
  <si>
    <t>Dashboard</t>
  </si>
  <si>
    <t>Onboarding</t>
  </si>
  <si>
    <t>Purchase Orders</t>
  </si>
  <si>
    <t>Companies</t>
  </si>
  <si>
    <t>Log In</t>
  </si>
  <si>
    <t>Document Management</t>
  </si>
  <si>
    <t>Wedding Suppliers</t>
  </si>
  <si>
    <t>Forgot Password</t>
  </si>
  <si>
    <t>Campaign Management</t>
  </si>
  <si>
    <t>Media Library</t>
  </si>
  <si>
    <t>Reset Password</t>
  </si>
  <si>
    <t xml:space="preserve">Project Management </t>
  </si>
  <si>
    <t>Plans</t>
  </si>
  <si>
    <t>Profile Settings</t>
  </si>
  <si>
    <t>Calendar</t>
  </si>
  <si>
    <t>Plan Requests</t>
  </si>
  <si>
    <t>Cases</t>
  </si>
  <si>
    <t>Plan Orders</t>
  </si>
  <si>
    <t>Staff - Users</t>
  </si>
  <si>
    <t>Meetings</t>
  </si>
  <si>
    <t>Coupons</t>
  </si>
  <si>
    <t>Staff - Roles</t>
  </si>
  <si>
    <t>Calls</t>
  </si>
  <si>
    <t>Currencies</t>
  </si>
  <si>
    <t>Lead Statuses</t>
  </si>
  <si>
    <t>Reports</t>
  </si>
  <si>
    <t>Referral Program</t>
  </si>
  <si>
    <t>Lead Sources</t>
  </si>
  <si>
    <t>Shipping Provider Types</t>
  </si>
  <si>
    <t>Landing Page</t>
  </si>
  <si>
    <t>Leads</t>
  </si>
  <si>
    <t>Custom Pages</t>
  </si>
  <si>
    <t>Opportunity Stages</t>
  </si>
  <si>
    <t>Contact Messages</t>
  </si>
  <si>
    <t>Opportunity Sources</t>
  </si>
  <si>
    <t>Newletters</t>
  </si>
  <si>
    <t>Opportunities</t>
  </si>
  <si>
    <t>Notification Templates</t>
  </si>
  <si>
    <t>Email Templates</t>
  </si>
  <si>
    <t>Account Type</t>
  </si>
  <si>
    <t>Settings</t>
  </si>
  <si>
    <t>Account Industries</t>
  </si>
  <si>
    <t>Accounts</t>
  </si>
  <si>
    <t>Contacts</t>
  </si>
  <si>
    <t>Product Setup - Taxes</t>
  </si>
  <si>
    <t>Product Setup - Brands</t>
  </si>
  <si>
    <t>Product Setup - Categories</t>
  </si>
  <si>
    <t>Products</t>
  </si>
  <si>
    <t>Quotes</t>
  </si>
  <si>
    <t>Sales Orders</t>
  </si>
  <si>
    <t>Invoices</t>
  </si>
  <si>
    <t>Delivery Orders</t>
  </si>
  <si>
    <t>student</t>
  </si>
  <si>
    <t>Done</t>
  </si>
  <si>
    <t>Forgot password</t>
  </si>
  <si>
    <t>dashboard</t>
  </si>
  <si>
    <t xml:space="preserve">Status </t>
  </si>
  <si>
    <t>Real-time reflection of amount</t>
  </si>
  <si>
    <t>Progress bar of payment</t>
  </si>
  <si>
    <t xml:space="preserve">n/n months </t>
  </si>
  <si>
    <t>amount paid deduction</t>
  </si>
  <si>
    <t>tuition fees</t>
  </si>
  <si>
    <t>filtering</t>
  </si>
  <si>
    <t>search</t>
  </si>
  <si>
    <t>tables</t>
  </si>
  <si>
    <t>real time status</t>
  </si>
  <si>
    <t>other transaction</t>
  </si>
  <si>
    <t>terms and conditions</t>
  </si>
  <si>
    <t>finance policy</t>
  </si>
  <si>
    <t>FAQ</t>
  </si>
  <si>
    <t>contact us</t>
  </si>
  <si>
    <t>header</t>
  </si>
  <si>
    <t>notification</t>
  </si>
  <si>
    <t>notifs</t>
  </si>
  <si>
    <t>Profile Management</t>
  </si>
  <si>
    <t>pay now</t>
  </si>
  <si>
    <t>list of banks</t>
  </si>
  <si>
    <t>upload payment where?</t>
  </si>
  <si>
    <t>admin</t>
  </si>
  <si>
    <t>cards status</t>
  </si>
  <si>
    <t>filter</t>
  </si>
  <si>
    <t xml:space="preserve">status OR </t>
  </si>
  <si>
    <t>remove history logs?</t>
  </si>
  <si>
    <t>student management</t>
  </si>
  <si>
    <t>import csv</t>
  </si>
  <si>
    <t>data tables</t>
  </si>
  <si>
    <t>payment management</t>
  </si>
  <si>
    <t>manage OR request</t>
  </si>
  <si>
    <t>OR history</t>
  </si>
  <si>
    <t>staff management</t>
  </si>
  <si>
    <t>edit access</t>
  </si>
  <si>
    <t>content management</t>
  </si>
  <si>
    <t>report management</t>
  </si>
  <si>
    <t>report csv</t>
  </si>
  <si>
    <t>status paid or np</t>
  </si>
  <si>
    <t>profile settings</t>
  </si>
  <si>
    <t>history logs</t>
  </si>
  <si>
    <t>activity</t>
  </si>
  <si>
    <t xml:space="preserve">data tables </t>
  </si>
  <si>
    <t xml:space="preserve">search </t>
  </si>
  <si>
    <t>view details</t>
  </si>
  <si>
    <t>PH</t>
  </si>
  <si>
    <t>MP</t>
  </si>
  <si>
    <t>view attachment</t>
  </si>
  <si>
    <t>status</t>
  </si>
  <si>
    <t xml:space="preserve">STUDENT </t>
  </si>
  <si>
    <t>ADMIN</t>
  </si>
  <si>
    <t>LOGIN</t>
  </si>
  <si>
    <t>STUDENT ID</t>
  </si>
  <si>
    <t>alphanumeric which consist of 10 characters</t>
  </si>
  <si>
    <t>USERNAME</t>
  </si>
  <si>
    <t>PASSWORD</t>
  </si>
  <si>
    <t>Minimum of 8 alphanumeric character</t>
  </si>
  <si>
    <t>Maximum of 50 alphanumeric character</t>
  </si>
  <si>
    <t>Must have at least one special character</t>
  </si>
  <si>
    <t>FORGOT PASSWORD</t>
  </si>
  <si>
    <t>STAFF MANAGEMENT&gt;ADD NEW STAFF</t>
  </si>
  <si>
    <t>EMAIL ADDRESS</t>
  </si>
  <si>
    <t>email add</t>
  </si>
  <si>
    <t>Profile image</t>
  </si>
  <si>
    <t>jpeg, png; up to 20mb</t>
  </si>
  <si>
    <t>FIRST NAME</t>
  </si>
  <si>
    <t>Maximum of 70 characters</t>
  </si>
  <si>
    <t>PAY</t>
  </si>
  <si>
    <t>MIDLE NAME</t>
  </si>
  <si>
    <t>OPTIONAL</t>
  </si>
  <si>
    <t>UPLOAD PROOF OF PAYMENT</t>
  </si>
  <si>
    <t>LAST NAME</t>
  </si>
  <si>
    <t>ACCOUNT</t>
  </si>
  <si>
    <t>ROLE</t>
  </si>
  <si>
    <t>PAY&gt;MODE OF PAYMENT&gt; CREDIT CARDS&gt; CARD INFORMATION</t>
  </si>
  <si>
    <t>CARD NUMBER</t>
  </si>
  <si>
    <t>MOBILE NUMBER</t>
  </si>
  <si>
    <t>Use the 11-digit (e.g. 09171234567) or 12-digit (e.g. 639181234567) format</t>
  </si>
  <si>
    <t>CARD NAME</t>
  </si>
  <si>
    <t>HOME ADDRESS</t>
  </si>
  <si>
    <t>Up to 70 characters</t>
  </si>
  <si>
    <t>EXPIRY DATE</t>
  </si>
  <si>
    <t>CVV</t>
  </si>
  <si>
    <t>STUDENT MANAGEMENT</t>
  </si>
  <si>
    <t>PAYMENT TRANSACTION</t>
  </si>
  <si>
    <t xml:space="preserve">CONTACT US </t>
  </si>
  <si>
    <t>STAFF MANAGEMENT</t>
  </si>
  <si>
    <t>NAME</t>
  </si>
  <si>
    <t xml:space="preserve">CONTENT MANAGEMENT </t>
  </si>
  <si>
    <t>REPORTS MANAGEMENT</t>
  </si>
  <si>
    <t>DEPARTMENT</t>
  </si>
  <si>
    <t>CHANGE PASSWORD</t>
  </si>
  <si>
    <t>MESSAGE</t>
  </si>
  <si>
    <t>Current password</t>
  </si>
  <si>
    <t>current password</t>
  </si>
  <si>
    <t>new password</t>
  </si>
  <si>
    <t>PROFILE SETTINGS</t>
  </si>
  <si>
    <t>Upload a Photo</t>
  </si>
  <si>
    <t xml:space="preserve">Student ID </t>
  </si>
  <si>
    <t>alphanumeric which consist of 32 characters</t>
  </si>
  <si>
    <t>confirm password</t>
  </si>
  <si>
    <t>Email address</t>
  </si>
  <si>
    <t>EMAIL</t>
  </si>
  <si>
    <t>First name</t>
  </si>
  <si>
    <t>midle name</t>
  </si>
  <si>
    <t>Last name</t>
  </si>
  <si>
    <t>Edit Student Balance</t>
  </si>
  <si>
    <t>mobile number</t>
  </si>
  <si>
    <t>Current Balance</t>
  </si>
  <si>
    <t>birthday</t>
  </si>
  <si>
    <t>DATE PICKET  MM/DD/YYYY</t>
  </si>
  <si>
    <t xml:space="preserve">payment status </t>
  </si>
  <si>
    <t>age</t>
  </si>
  <si>
    <t>enter reason for editing</t>
  </si>
  <si>
    <t>gender</t>
  </si>
  <si>
    <t>home address</t>
  </si>
  <si>
    <t>Add new FAQ Record</t>
  </si>
  <si>
    <t>course</t>
  </si>
  <si>
    <t>Pre input</t>
  </si>
  <si>
    <t>Question</t>
  </si>
  <si>
    <t>department</t>
  </si>
  <si>
    <t>Answer</t>
  </si>
  <si>
    <t>academic year</t>
  </si>
  <si>
    <t>semester</t>
  </si>
  <si>
    <t>Terms and condition</t>
  </si>
  <si>
    <t>title</t>
  </si>
  <si>
    <t>body</t>
  </si>
  <si>
    <t>Contact us details</t>
  </si>
  <si>
    <t>Phone number</t>
  </si>
  <si>
    <t>email address</t>
  </si>
  <si>
    <t>shcool address</t>
  </si>
  <si>
    <t>PAYMENT STATUS STUDENT</t>
  </si>
  <si>
    <t>paid</t>
  </si>
  <si>
    <t>payment validated</t>
  </si>
  <si>
    <t>email</t>
  </si>
  <si>
    <t>COMPANY</t>
  </si>
  <si>
    <t>SUPER ADMIN</t>
  </si>
  <si>
    <t>ITEM NO.</t>
  </si>
  <si>
    <t>TEST CASE / SCENARIO</t>
  </si>
  <si>
    <t>TEST STEP</t>
  </si>
  <si>
    <t>EXPECTED RESULT</t>
  </si>
  <si>
    <t>ACTUAL RESULT
(1st RUN)</t>
  </si>
  <si>
    <t>STATUS</t>
  </si>
  <si>
    <t>TEST EVIDENCE
(1st Run)</t>
  </si>
  <si>
    <t>COMMENT / REMARK</t>
  </si>
  <si>
    <t>Registration page loads</t>
  </si>
  <si>
    <t>1. Navigate to Registration page</t>
  </si>
  <si>
    <t>Registration form loads successfully</t>
  </si>
  <si>
    <t>Successful registration</t>
  </si>
  <si>
    <t>1. Enter valid Email
2. Enter Password
3. Enter Confirm Password
4. Check Agree to Terms and Conditions
5. Click Register</t>
  </si>
  <si>
    <t>User account is created and verification 
email is sent</t>
  </si>
  <si>
    <t>Password mismatch validation</t>
  </si>
  <si>
    <t>1. Enter Password
2. Enter different Confirm Password
3. Click Register</t>
  </si>
  <si>
    <t>System displays password mismatch 
validation message</t>
  </si>
  <si>
    <t>Required fields validation</t>
  </si>
  <si>
    <t>1. Leave required fields empty
2. Click Register</t>
  </si>
  <si>
    <t>System displays required field
validation messages</t>
  </si>
  <si>
    <t>Terms and conditions required</t>
  </si>
  <si>
    <t>1. Fill all fields
2. Do NOT check Agree to Terms
3. Click Register</t>
  </si>
  <si>
    <t>System prevents registration and 
prompts user to agree to terms</t>
  </si>
  <si>
    <t>Duplicate email registration</t>
  </si>
  <si>
    <t>1. Register using an already existing email</t>
  </si>
  <si>
    <t>System prevents duplicate registration 
and displays error message</t>
  </si>
  <si>
    <t>Register with invalid email format</t>
  </si>
  <si>
    <t>1. Enter test@example
2. Enter and Confirm password 
3.Sign Up</t>
  </si>
  <si>
    <t>Validation error shown; registration blocked</t>
  </si>
  <si>
    <t>Accepts email format with no domain extension (e.g. test@example)</t>
  </si>
  <si>
    <t>(PASSED) - 03/19/2026</t>
  </si>
  <si>
    <t>Verification email received</t>
  </si>
  <si>
    <t>1. Register account
2. Check email inbox</t>
  </si>
  <si>
    <t>Verification email is received 
successfully</t>
  </si>
  <si>
    <t>Redirect to onboarding after 
successful email verification</t>
  </si>
  <si>
    <t>1. Register a new account
2. Open verification email
3. Click verification link</t>
  </si>
  <si>
    <t>Email is verified and user is redirected 
to the onboarding page</t>
  </si>
  <si>
    <t>Invalid verification link</t>
  </si>
  <si>
    <t>1. Click expired or modified verification link</t>
  </si>
  <si>
    <t>System displays invalid or expired 
link error</t>
  </si>
  <si>
    <t>Login without verification</t>
  </si>
  <si>
    <t>1. Attempt to login before verifying email</t>
  </si>
  <si>
    <t>System restricts login and redirects to 
verify email page</t>
  </si>
  <si>
    <t>Onboarding page loads 
successfully</t>
  </si>
  <si>
    <t>1. Complete email verification</t>
  </si>
  <si>
    <t>Onboarding page loads displaying the 
Company Name setup step</t>
  </si>
  <si>
    <t>Prevent access to dashboard 
before onboarding completion</t>
  </si>
  <si>
    <t>1. Verify email
2. Attempt to directly access dashboard URL</t>
  </si>
  <si>
    <t>System redirects user to onboarding 
until setup is completed</t>
  </si>
  <si>
    <t>Onboarding starts with 
company setup</t>
  </si>
  <si>
    <t>1. Verify email
2. Observe first onboarding step</t>
  </si>
  <si>
    <t>System displays Enter Company Name 
as the first onboarding step</t>
  </si>
  <si>
    <t>Onboarding session 
persistence</t>
  </si>
  <si>
    <t>1. Verify email
2. Start onboarding
3. Refresh page</t>
  </si>
  <si>
    <t>Onboarding progress remains and 
user stays on the same onboarding step</t>
  </si>
  <si>
    <t>Company name entry</t>
  </si>
  <si>
    <t>1. Enter Company Name
2. Click Continue</t>
  </si>
  <si>
    <t>Company name is saved and 
onboarding proceeds to next step</t>
  </si>
  <si>
    <t>Empty company name validation</t>
  </si>
  <si>
    <t>1. Leave Company Name empty
2. Click Continue</t>
  </si>
  <si>
    <t>System shows required field validation</t>
  </si>
  <si>
    <t>Default roles displayed</t>
  </si>
  <si>
    <t>1. Navigate to Roles step</t>
  </si>
  <si>
    <t>Predefined roles Admin and Sales 
Manager are displayed</t>
  </si>
  <si>
    <t>Create custom role</t>
  </si>
  <si>
    <t>1. Click Create Role
2. Enter Role Name
3. Select permissions
4. Save</t>
  </si>
  <si>
    <t>Custom role is created successfully</t>
  </si>
  <si>
    <t>Role permissions selection</t>
  </si>
  <si>
    <t>1. Create role
2. Select permissions
3. Save</t>
  </si>
  <si>
    <t>Selected permissions are saved 
correctly</t>
  </si>
  <si>
    <t>Skip roles setup</t>
  </si>
  <si>
    <t>1. Click Skip for Now</t>
  </si>
  <si>
    <t>System proceeds to next onboarding
step</t>
  </si>
  <si>
    <t>Add team member</t>
  </si>
  <si>
    <t>1. Enter Name
2. Enter Email
3. Select Role
4. Click Continue</t>
  </si>
  <si>
    <t>Team member is added successfully</t>
  </si>
  <si>
    <t>Role dropdown selection</t>
  </si>
  <si>
    <t>1. Click Role dropdown</t>
  </si>
  <si>
    <t>Available roles are displayed for 
selection</t>
  </si>
  <si>
    <t>Invalid email validation</t>
  </si>
  <si>
    <t>1. Enter invalid email format
2. Click Continue</t>
  </si>
  <si>
    <t>System displays email format validation
error</t>
  </si>
  <si>
    <t>Skip team member setup</t>
  </si>
  <si>
    <t>System proceeds to dashboard</t>
  </si>
  <si>
    <t>Redirect to dashboard after 
onboarding</t>
  </si>
  <si>
    <t>1. Complete onboarding process</t>
  </si>
  <si>
    <t>User is redirected to the dashboard 
successfully</t>
  </si>
  <si>
    <t>Dashboard loads correctly</t>
  </si>
  <si>
    <t>1. Verify dashboard after onboarding</t>
  </si>
  <si>
    <t>Dashboard loads with company 
account initialized</t>
  </si>
  <si>
    <t>Plan subscription pop-up 
appears on first login</t>
  </si>
  <si>
    <t>1. Login using newly registered company account
2. Navigate to Dashboard</t>
  </si>
  <si>
    <t>Plan subscription pop-up appears
 automatically on dashboard</t>
  </si>
  <si>
    <t>Display available plans in pop-up</t>
  </si>
  <si>
    <t>1. Observe the plans displayed in the pop-up</t>
  </si>
  <si>
    <t>Available plans are displayed correctly 
with pricing and plan details</t>
  </si>
  <si>
    <t>Monthly / Yearly pricing toggle</t>
  </si>
  <si>
    <t>1. Switch from Monthly to Yearly
2. Switch back to Monthly</t>
  </si>
  <si>
    <t>Plan pricing updates correctly based 
on selected billing cycle</t>
  </si>
  <si>
    <t>Subscribe to a plan from pop-up</t>
  </si>
  <si>
    <t>1. Click Subscribe on a selected plan</t>
  </si>
  <si>
    <t>User proceeds to plan subscription or 
payment process</t>
  </si>
  <si>
    <t>Cancel / Close pop-up</t>
  </si>
  <si>
    <t>1. Click Cancel / Close button</t>
  </si>
  <si>
    <t>Pop-up closes and dashboard remains 
accessible</t>
  </si>
  <si>
    <t>“Don’t show this again” 
checkbox functionality</t>
  </si>
  <si>
    <t>1. Check Don’t show this again
2. Click Close
3. Refresh dashboard or login again</t>
  </si>
  <si>
    <t>Plan subscription pop-up no longer 
appears on dashboard</t>
  </si>
  <si>
    <t>Pop-up reappears when 
checkbox not selected</t>
  </si>
  <si>
    <t>1. Close pop-up without checking Don’t show this again
2. Refresh dashboard or login again</t>
  </si>
  <si>
    <t>Pop-up appears again on dashboard</t>
  </si>
  <si>
    <t>Plan details correctness in
pop-up</t>
  </si>
  <si>
    <t>1. Compare plan name, price, and features shown in pop-up</t>
  </si>
  <si>
    <t>Plan information matches system plan
 configuration</t>
  </si>
  <si>
    <t>Toggle state persists while 
pop-up open</t>
  </si>
  <si>
    <t>1. Select Yearly toggle
2. Browse plans within pop-up</t>
  </si>
  <si>
    <t>All displayed plans reflect selected
billing cycle</t>
  </si>
  <si>
    <t>Login page loads 
successfully</t>
  </si>
  <si>
    <t>1. Click Login</t>
  </si>
  <si>
    <t>Login page loads with all required fields/buttons visible</t>
  </si>
  <si>
    <t>Login – valid credentials</t>
  </si>
  <si>
    <t>1. Enter valid email 
2. Enter valid password 
3. Click Login</t>
  </si>
  <si>
    <t>User logs in successfully and is redirected to Dashboard</t>
  </si>
  <si>
    <t>Login using Enter key</t>
  </si>
  <si>
    <t>1. Enter valid email &amp; password 
2. Press Enter</t>
  </si>
  <si>
    <t>Login is triggered and user is redirected</t>
  </si>
  <si>
    <t>Login with invalid email format</t>
  </si>
  <si>
    <t>1. Enter test@ 
2. Enter password 
3. Login</t>
  </si>
  <si>
    <t>Validation error shown; login blocked</t>
  </si>
  <si>
    <t>Login – non-existing email</t>
  </si>
  <si>
    <t>1. Enter email not in system 
2. Any password 
3. Login</t>
  </si>
  <si>
    <t>Error shown; user not logged in</t>
  </si>
  <si>
    <t>Login – blank email</t>
  </si>
  <si>
    <t>1. Leave email empty 
2. Enter password 
3. Login</t>
  </si>
  <si>
    <t>Required validation appears; no login</t>
  </si>
  <si>
    <t>Login – invalid password</t>
  </si>
  <si>
    <t>1. Enter valid email 
2. Wrong password 
3. Login</t>
  </si>
  <si>
    <t>Login – blank password</t>
  </si>
  <si>
    <t>1. Enter email 
2. Leave password empty 
3. Login</t>
  </si>
  <si>
    <t>Login – both fields blank</t>
  </si>
  <si>
    <t>1. Leave email &amp; password empty 
2. Login</t>
  </si>
  <si>
    <t>Required validations shown</t>
  </si>
  <si>
    <t>Password masked by default</t>
  </si>
  <si>
    <t>1. Type password</t>
  </si>
  <si>
    <t>Password characters are masked</t>
  </si>
  <si>
    <t>Forgot Password link visible</t>
  </si>
  <si>
    <t>1. Observe login form</t>
  </si>
  <si>
    <t>“Forgot password?” link is visible and clickable</t>
  </si>
  <si>
    <t>Forgot Password page loads successfully</t>
  </si>
  <si>
    <t>1. Click Forgot password? from Login</t>
  </si>
  <si>
    <t>Forgot Password page loads with Email field and submit button</t>
  </si>
  <si>
    <t>UI elements are displayed correctly</t>
  </si>
  <si>
    <t>1. Observe page</t>
  </si>
  <si>
    <t>Email field, “Email password reset link” button, and “Back to login” link are visible</t>
  </si>
  <si>
    <t>Submit valid registered email</t>
  </si>
  <si>
    <t>1. Enter registered email 
2. Click Email password reset link</t>
  </si>
  <si>
    <t>Success message shown; reset email is sent</t>
  </si>
  <si>
    <t>Submit non-existing email</t>
  </si>
  <si>
    <t>1. Enter unregistered email 
2. Submit</t>
  </si>
  <si>
    <t>Generic success message shown</t>
  </si>
  <si>
    <t>Submit invalid email format</t>
  </si>
  <si>
    <t>1. Enter test@ 
2. Submit</t>
  </si>
  <si>
    <t>Validation error shown</t>
  </si>
  <si>
    <t>Submit empty email field</t>
  </si>
  <si>
    <t>1. Leave email empty 
2. Submit</t>
  </si>
  <si>
    <t>Required field validation shown</t>
  </si>
  <si>
    <t>Password reset link opens reset password page</t>
  </si>
  <si>
    <t>1. Click reset link from email</t>
  </si>
  <si>
    <t>User is redirected to Reset Password page</t>
  </si>
  <si>
    <t>UI elements visible</t>
  </si>
  <si>
    <t>New Password, Confirm Password, Submit button visible</t>
  </si>
  <si>
    <t>Reset password with valid inputs</t>
  </si>
  <si>
    <t>1. Enter valid new password 
2. Enter matching confirm 
password 
3. Click Reset/Submit</t>
  </si>
  <si>
    <t>Password is reset successfully; success message shown</t>
  </si>
  <si>
    <t>Login using newly reset password</t>
  </si>
  <si>
    <t>1. Go to Login page 
2. Enter email 
3. Enter new password</t>
  </si>
  <si>
    <t>User logs in successfully</t>
  </si>
  <si>
    <t>Password confirmation mismatch</t>
  </si>
  <si>
    <t>1. Enter new password 
2. Enter different confirm password</t>
  </si>
  <si>
    <t>Empty password fields</t>
  </si>
  <si>
    <t>1. Leave fields empty 
2. Submit</t>
  </si>
  <si>
    <t>Required validation shown</t>
  </si>
  <si>
    <t>Reset link expires after defined time</t>
  </si>
  <si>
    <t>1. Wait until link expiry
2. Click link</t>
  </si>
  <si>
    <t>Expired link error shown</t>
  </si>
  <si>
    <t>Reset link becomes invalid after use</t>
  </si>
  <si>
    <t>1. Use reset link again after success</t>
  </si>
  <si>
    <t>Error shown; link no longer usable</t>
  </si>
  <si>
    <t>View profile settings</t>
  </si>
  <si>
    <t>1. Click User Icon (Top Right)
2. Select Profile Settings</t>
  </si>
  <si>
    <t>Profile Settings page loads 
successfully</t>
  </si>
  <si>
    <t>Update profile 
information</t>
  </si>
  <si>
    <t>1. Navigate to Profile Settings → 
Profile
2. Edit Name / Email / Company
Name
3. Click Save</t>
  </si>
  <si>
    <t>Profile information updates 
successfully</t>
  </si>
  <si>
    <t>Upload profile avatar</t>
  </si>
  <si>
    <t>1. Navigate to Profile Settings → 
Profile
2. Click Change Avatar
3. Upload valid image file
4. Save changes</t>
  </si>
  <si>
    <t>Avatar uploads and displays 
successfully</t>
  </si>
  <si>
    <t>Upload avatar with 
invalid file type</t>
  </si>
  <si>
    <t>1. Click Change Avatar
2. Upload unsupported file type 
(e.g., PDF, DOCX)</t>
  </si>
  <si>
    <t>File selection does not show unsupported 
file types</t>
  </si>
  <si>
    <t>Upload avatar 
exceeding file size limit</t>
  </si>
  <si>
    <t>1. Click Change Avatar
2. Upload image larger than 2MB</t>
  </si>
  <si>
    <t>System displays file size validation 
error</t>
  </si>
  <si>
    <t>Save profile with 
empty required fields</t>
  </si>
  <si>
    <t>1. Clear Name or Email field
2. Click Save</t>
  </si>
  <si>
    <t>System prevents saving and shows 
validation message</t>
  </si>
  <si>
    <t>Update email address</t>
  </si>
  <si>
    <t>1. Navigate to Profile Settings → 
Profile
2. Change Email Address
3. Click Save</t>
  </si>
  <si>
    <t>Email address updates successfully</t>
  </si>
  <si>
    <t>Change password successfully</t>
  </si>
  <si>
    <t>1. Navigate to Profile Settings → 
Password
2. Enter Current Password
3. Enter New Password
4. Enter Confirm Password
5. Click Save Password</t>
  </si>
  <si>
    <t>Password updates successfully</t>
  </si>
  <si>
    <t>Incorrect current password</t>
  </si>
  <si>
    <t>1. Enter incorrect Current Password
2. Enter new password
3. Click Save Password</t>
  </si>
  <si>
    <t>System displays error for incorrect 
current password</t>
  </si>
  <si>
    <t>1. Enter New Password
2. Enter different Confirm Password
3. Click Save Password</t>
  </si>
  <si>
    <t>System shows password mismatch 
validation</t>
  </si>
  <si>
    <t>1. Leave fields empty
2. Click Save Password</t>
  </si>
  <si>
    <t>Dashboard loads after successful login</t>
  </si>
  <si>
    <t>1. Login with valid credentials</t>
  </si>
  <si>
    <t>User is redirected to Company Dashboard</t>
  </si>
  <si>
    <t>Dashboard URL access without login</t>
  </si>
  <si>
    <t>1. Open /dashboard without session</t>
  </si>
  <si>
    <t>User redirected to Login page</t>
  </si>
  <si>
    <t>Company name displayed correctly</t>
  </si>
  <si>
    <t>1. Observe top-right company name</t>
  </si>
  <si>
    <t>Logged-in company name is displayed correctly</t>
  </si>
  <si>
    <t>Language selector visible</t>
  </si>
  <si>
    <t>1. Observe header</t>
  </si>
  <si>
    <t>Language dropdown is visible</t>
  </si>
  <si>
    <t>Language switch updates dashboard text</t>
  </si>
  <si>
    <t>1. Change language</t>
  </si>
  <si>
    <t>All dashboard labels update correctly</t>
  </si>
  <si>
    <t>Language persists after refresh</t>
  </si>
  <si>
    <t>1. Change language 
2. Refresh page</t>
  </si>
  <si>
    <t>Selected language persists</t>
  </si>
  <si>
    <t>Refresh button reloads dashboard data</t>
  </si>
  <si>
    <t>1. Click Refresh</t>
  </si>
  <si>
    <t>Dashboard widgets reload with updated data</t>
  </si>
  <si>
    <t>Total Employees widget displays correct count</t>
  </si>
  <si>
    <t>1. Compare count with Staff list</t>
  </si>
  <si>
    <t>Employee count matches actual records</t>
  </si>
  <si>
    <t>Total Leads widget displays correct count</t>
  </si>
  <si>
    <t>1. Compare with Leads module</t>
  </si>
  <si>
    <t>Lead count matches records</t>
  </si>
  <si>
    <t>Total Sales widget displays correct value</t>
  </si>
  <si>
    <t>1. Compare with confirmed sales</t>
  </si>
  <si>
    <t>Sales count/value matches data</t>
  </si>
  <si>
    <t>Total Customers widget displays correct count</t>
  </si>
  <si>
    <t>1. Compare with Accounts/Customers</t>
  </si>
  <si>
    <t>Customer count matches system data</t>
  </si>
  <si>
    <t>Total Projects widget displays correct count</t>
  </si>
  <si>
    <t>1. Compare with Projects module</t>
  </si>
  <si>
    <t>Active projects count is accurate</t>
  </si>
  <si>
    <t>Company Revenue widget calculation</t>
  </si>
  <si>
    <t>1. Compare revenue with sales records</t>
  </si>
  <si>
    <t>Revenue equals sum of confirmed sales</t>
  </si>
  <si>
    <t>Sales Trends chart loads successfully</t>
  </si>
  <si>
    <t>1. Observe Sales Trends graph</t>
  </si>
  <si>
    <t>Chart renders without errors</t>
  </si>
  <si>
    <t>Storage Usage widget displays correct usage</t>
  </si>
  <si>
    <t>1. Observe storage usage</t>
  </si>
  <si>
    <t>Usage % and size reflect actual storage</t>
  </si>
  <si>
    <t>Lead Conversions chart loads</t>
  </si>
  <si>
    <t>1. Observe Lead Conversions graph</t>
  </si>
  <si>
    <t>Chart renders successfully</t>
  </si>
  <si>
    <t>Lead Conversions tooltip accuracy</t>
  </si>
  <si>
    <t>1. Hover on data points</t>
  </si>
  <si>
    <t>Tooltip values match data</t>
  </si>
  <si>
    <t>Customer Distribution chart loads</t>
  </si>
  <si>
    <t>1. Observe donut chart</t>
  </si>
  <si>
    <t>Chart renders without UI issues</t>
  </si>
  <si>
    <t>Latest Leads widget displays recent entries</t>
  </si>
  <si>
    <t>1. Observe Latest Leads list</t>
  </si>
  <si>
    <t>Most recent leads displayed in correct order</t>
  </si>
  <si>
    <t>Recent Sales widget displays latest sales</t>
  </si>
  <si>
    <t>1. Observe Recent Sales</t>
  </si>
  <si>
    <t>Latest confirmed sales shown</t>
  </si>
  <si>
    <t>Active Projects widget accuracy</t>
  </si>
  <si>
    <t>Active projects count matches</t>
  </si>
  <si>
    <t>Dashboard handles zero data</t>
  </si>
  <si>
    <t>1. Login to company with no data</t>
  </si>
  <si>
    <t>Widgets show 0 / empty state, no crash</t>
  </si>
  <si>
    <t>Dashboard handles partial data</t>
  </si>
  <si>
    <t>1. Company has leads but no sales</t>
  </si>
  <si>
    <t>Only relevant widgets populated</t>
  </si>
  <si>
    <t>Responsive layout behavior</t>
  </si>
  <si>
    <t>1. Resize browser window</t>
  </si>
  <si>
    <t>Layout adapts without overlap</t>
  </si>
  <si>
    <t>Scroll behavior</t>
  </si>
  <si>
    <t>1. Scroll dashboard</t>
  </si>
  <si>
    <t>Smooth scrolling; no layout jump</t>
  </si>
  <si>
    <t>Logout from dashboard</t>
  </si>
  <si>
    <t>1. Logout 
2. Try browser back</t>
  </si>
  <si>
    <t>User cannot reaccess dashboard</t>
  </si>
  <si>
    <t>Staff - User</t>
  </si>
  <si>
    <t>Users page loads</t>
  </si>
  <si>
    <t>1. Go to Staff → Users</t>
  </si>
  <si>
    <t>Users list page loads without error</t>
  </si>
  <si>
    <t>Create User</t>
  </si>
  <si>
    <t>1. Click Add User 
2. Fill Name, Email, Password, Confirm Password, Role 
3. Save</t>
  </si>
  <si>
    <t>User created and appears in list</t>
  </si>
  <si>
    <t>Create User – required field validations</t>
  </si>
  <si>
    <t>1. Open Add User 
2. Leave required fields empty 
3. Click Save</t>
  </si>
  <si>
    <t>Required field errors displayed; no user created</t>
  </si>
  <si>
    <t>Create User – invalid email format</t>
  </si>
  <si>
    <t>1. Enter email test@ 
2. Fill others 
3. Save</t>
  </si>
  <si>
    <t>Validation error; user not created</t>
  </si>
  <si>
    <t>Create User – duplicate email</t>
  </si>
  <si>
    <t>1. Add user using existing email 
2. Save</t>
  </si>
  <si>
    <t>Error shown; duplicate prevented</t>
  </si>
  <si>
    <t>Create User – role required</t>
  </si>
  <si>
    <t>1. Fill all except Role 
2. Save</t>
  </si>
  <si>
    <t>Validation error; no user created</t>
  </si>
  <si>
    <t>Edit user</t>
  </si>
  <si>
    <t>1. Open user 
2. Edit Name/Role 
3. Save</t>
  </si>
  <si>
    <t>Updates saved and reflected in list</t>
  </si>
  <si>
    <t>Edit user – change email to existing email</t>
  </si>
  <si>
    <t>1. Edit user email to another user’s email 
2. Save</t>
  </si>
  <si>
    <t>Duplicate prevented; error shown</t>
  </si>
  <si>
    <t>Edit user – cancel/discard changes</t>
  </si>
  <si>
    <t>1. Edit user 
2. Modify fields 
3. Cancel/Back</t>
  </si>
  <si>
    <t>Changes not saved</t>
  </si>
  <si>
    <t xml:space="preserve">Delete user </t>
  </si>
  <si>
    <t>1. Click Delete 
2. Confirm deletion</t>
  </si>
  <si>
    <t>User removed from list; cannot login</t>
  </si>
  <si>
    <t>Delete user – cancel confirmation</t>
  </si>
  <si>
    <t>1. Click Delete 
2. Cancel</t>
  </si>
  <si>
    <t>User remains unchanged</t>
  </si>
  <si>
    <t>Toggle Status → Inactive blocks login</t>
  </si>
  <si>
    <t>1. Toggle user to Inactive 
2. Attempt login</t>
  </si>
  <si>
    <t>Inactive user cannot login</t>
  </si>
  <si>
    <t>Toggle Status → Active restores login</t>
  </si>
  <si>
    <t>1. Toggle user to Active 
2. Attempt login</t>
  </si>
  <si>
    <t>User can login again</t>
  </si>
  <si>
    <t>Toggle Status – status persists after refresh</t>
  </si>
  <si>
    <t>1. Toggle status 
2. Refresh page</t>
  </si>
  <si>
    <t>Status remains saved correctly</t>
  </si>
  <si>
    <t>1. Click Reset Password 
2. Confirm 
3. Login using new password 
(or check email reset)</t>
  </si>
  <si>
    <t>Password reset succeeds; user can login</t>
  </si>
  <si>
    <t>View User Logs</t>
  </si>
  <si>
    <t>1. Open a user 
2. Click View Logs</t>
  </si>
  <si>
    <t>Logs page/modal displays user actions history</t>
  </si>
  <si>
    <t>Search user by Name</t>
  </si>
  <si>
    <t>1. Enter keyword in Search 
2. Submit</t>
  </si>
  <si>
    <t>Matching users displayed</t>
  </si>
  <si>
    <t>Search – no results state</t>
  </si>
  <si>
    <t>1. Search random string</t>
  </si>
  <si>
    <t>“No results found” shown; no crash</t>
  </si>
  <si>
    <t>Filter by Role</t>
  </si>
  <si>
    <t>1. Open Role filter 
2. Select a role 
3. Apply</t>
  </si>
  <si>
    <t>Only users with selected role displayed</t>
  </si>
  <si>
    <t>Filters persist across view change</t>
  </si>
  <si>
    <t>1. Apply filters 
2. Switch views</t>
  </si>
  <si>
    <t>Filters remain applied</t>
  </si>
  <si>
    <t>Clear filter restores full list</t>
  </si>
  <si>
    <t>1. Apply filter 
2. Clear/Reset</t>
  </si>
  <si>
    <t>Full list restored</t>
  </si>
  <si>
    <t>Pagination 10/25/50/100</t>
  </si>
  <si>
    <t>1. Navigate to Users
2. Select 10 records per page
3. Verify displayed results
4. Select 25, 50, 100 sequentially</t>
  </si>
  <si>
    <t>System correctly updates displayed 
records according to selected pagination</t>
  </si>
  <si>
    <t>Roles page loads</t>
  </si>
  <si>
    <t>1. Go to Staff → Roles</t>
  </si>
  <si>
    <t>Roles list loads without error</t>
  </si>
  <si>
    <t>Create Role</t>
  </si>
  <si>
    <t>1. Click Add Role 
2. Enter Role Name + Description 
3. Select permissions 
4. Save</t>
  </si>
  <si>
    <t>Role saved and appears in list</t>
  </si>
  <si>
    <t>Create Role – Role Name required</t>
  </si>
  <si>
    <t>1. Leave Role Name blank 
2. Save</t>
  </si>
  <si>
    <t>Validation error; role not created</t>
  </si>
  <si>
    <t>Create Role – duplicate Role Name</t>
  </si>
  <si>
    <t>1. Create role with existing name 
2. Save</t>
  </si>
  <si>
    <t>Duplicate blocked or handled consistently</t>
  </si>
  <si>
    <t>Create Role – no permissions selected</t>
  </si>
  <si>
    <t>1. Create role with no permissions 
2. Save</t>
  </si>
  <si>
    <t>Role created (if allowed) but access restricted</t>
  </si>
  <si>
    <t>View Role details</t>
  </si>
  <si>
    <t>1. Open role row/View</t>
  </si>
  <si>
    <t>Role info + permission list displayed correctly</t>
  </si>
  <si>
    <t>Edit Role name/description</t>
  </si>
  <si>
    <t>1. Edit role 
2. Update fields 
3. Save</t>
  </si>
  <si>
    <t>Updates saved; reflected in list</t>
  </si>
  <si>
    <t>Edit Role permissions</t>
  </si>
  <si>
    <t>1. Edit role 
2. Add/remove permissions 
3. Save</t>
  </si>
  <si>
    <t>Changes apply; impacted users gain/lose access accordingly</t>
  </si>
  <si>
    <t>Edit Role – cancel/discard changes</t>
  </si>
  <si>
    <t>1. Edit role 
2. Modify 
3. Cancel</t>
  </si>
  <si>
    <t>No changes saved</t>
  </si>
  <si>
    <t>Delete Role</t>
  </si>
  <si>
    <t>1. Delete role not assigned to any user 
2. Confirm</t>
  </si>
  <si>
    <t>Role deleted; removed from list</t>
  </si>
  <si>
    <t>Search Role by name</t>
  </si>
  <si>
    <t>1. Enter role keyword 
2. Search</t>
  </si>
  <si>
    <t>Matching roles returned</t>
  </si>
  <si>
    <t>Search Role – no results</t>
  </si>
  <si>
    <t>No results state shown</t>
  </si>
  <si>
    <t>1. Navigate to Roles
2. Select 10 records per page
3. Verify displayed results
4. Select 25, 50, 100 sequentially</t>
  </si>
  <si>
    <t>Role permission persistence after refresh</t>
  </si>
  <si>
    <t>1. Edit permissions 
2. Refresh page 
3. Reopen role</t>
  </si>
  <si>
    <t>Permissions remain saved correctly</t>
  </si>
  <si>
    <t>Lead Management - Lead Statuses</t>
  </si>
  <si>
    <t>Lead Statuses page loads</t>
  </si>
  <si>
    <t>1. Go to Lead Management → Lead Statuses</t>
  </si>
  <si>
    <t>Page loads with status list</t>
  </si>
  <si>
    <t>Create Lead Status</t>
  </si>
  <si>
    <t>1. Click Add 
2. Fill Status Name + Color 
3. Optional Description/Status 
4. Save</t>
  </si>
  <si>
    <t>Status created and appears in list</t>
  </si>
  <si>
    <t>Create Lead Status – required validations</t>
  </si>
  <si>
    <t>1. Leave Status Name/Color empty 
2. Save</t>
  </si>
  <si>
    <t>Validation errors shown; not saved</t>
  </si>
  <si>
    <t>Create Lead Status – duplicate Status Name</t>
  </si>
  <si>
    <t>1. Create status with existing name 
2. Save</t>
  </si>
  <si>
    <t>Duplicate blocked OR allowed consistently</t>
  </si>
  <si>
    <t>Create Lead Status – invalid color value</t>
  </si>
  <si>
    <t>1. Input invalid color 
2. Save</t>
  </si>
  <si>
    <t>Validation prevents invalid color</t>
  </si>
  <si>
    <t>View Lead Status</t>
  </si>
  <si>
    <t>1. Open/View a status</t>
  </si>
  <si>
    <t>Correct status details displayed</t>
  </si>
  <si>
    <t>Edit Lead Status</t>
  </si>
  <si>
    <t>1. Edit status name/description/color 
2. Save</t>
  </si>
  <si>
    <t>Changes reflected in list and lead form dropdown</t>
  </si>
  <si>
    <t>Edit Lead Status – to duplicate name</t>
  </si>
  <si>
    <t>1. Rename status to existing name 
2. Save</t>
  </si>
  <si>
    <t>Duplicate rule enforced consistently</t>
  </si>
  <si>
    <t xml:space="preserve">Delete Lead Status </t>
  </si>
  <si>
    <t xml:space="preserve">1. Delete status </t>
  </si>
  <si>
    <t>Status deleted successfully</t>
  </si>
  <si>
    <t>Toggle Lead Status → Inactive</t>
  </si>
  <si>
    <t>1. Toggle status to Inactive 
2. Open Add Lead form</t>
  </si>
  <si>
    <t>Inactive status not selectable</t>
  </si>
  <si>
    <t>Toggle Lead Status persists</t>
  </si>
  <si>
    <t>1. Toggle 
2. Refresh page</t>
  </si>
  <si>
    <t>Toggle state remains saved</t>
  </si>
  <si>
    <t>Search Lead Status</t>
  </si>
  <si>
    <t>1. Search by status name</t>
  </si>
  <si>
    <t>Matching statuses returned</t>
  </si>
  <si>
    <t>Filter by Status (Active/Inactive)</t>
  </si>
  <si>
    <t>1. Apply filter by status</t>
  </si>
  <si>
    <t>List updates based on selected filter</t>
  </si>
  <si>
    <t>Search + Filter combined</t>
  </si>
  <si>
    <t>1. Filter Active 
2. Search keyword</t>
  </si>
  <si>
    <t>Results match both criteria</t>
  </si>
  <si>
    <t>1. Navigate to Lead Statuses
2. Select 10 records per page
3. Verify displayed results
4. Select 25, 50, 100 sequentially</t>
  </si>
  <si>
    <t>Lead Management - Lead Sources</t>
  </si>
  <si>
    <t>Lead Sources page loads</t>
  </si>
  <si>
    <t>1. Lead Management → Lead Sources</t>
  </si>
  <si>
    <t>Page loads with sources list</t>
  </si>
  <si>
    <t>Create Lead Source</t>
  </si>
  <si>
    <t>1. Add 2. Fill Source Name 
3. Optional Description/Status 
4. Save</t>
  </si>
  <si>
    <t>Source created and appears in list</t>
  </si>
  <si>
    <t>Create Lead Source – required validations</t>
  </si>
  <si>
    <t>1. Leave Source Name empty 
2. Save</t>
  </si>
  <si>
    <t>Create Lead Source – duplicate name</t>
  </si>
  <si>
    <t>1. Create source with existing name 
2. Save</t>
  </si>
  <si>
    <t>View Lead Source</t>
  </si>
  <si>
    <t>1. View source details</t>
  </si>
  <si>
    <t>Correct details shown</t>
  </si>
  <si>
    <t>Edit Lead Source</t>
  </si>
  <si>
    <t>1. Edit source name/description/status 
2. Save</t>
  </si>
  <si>
    <t>Changes reflected correctly</t>
  </si>
  <si>
    <t>Delete Lead Source not in use</t>
  </si>
  <si>
    <t>1. Delete unused source</t>
  </si>
  <si>
    <t>Source removed from list</t>
  </si>
  <si>
    <t>Toggle Lead Source → Inactive</t>
  </si>
  <si>
    <t>1. Toggle inactive 
2. Open Add Lead form</t>
  </si>
  <si>
    <t>Inactive source hidden/disabled from selection</t>
  </si>
  <si>
    <t>Search Lead Source</t>
  </si>
  <si>
    <t>1. Search keyword</t>
  </si>
  <si>
    <t>Matching sources returned</t>
  </si>
  <si>
    <t>Filter by Status</t>
  </si>
  <si>
    <t>1. Filter Active/Inactive</t>
  </si>
  <si>
    <t>List updates correctly</t>
  </si>
  <si>
    <t>1. Navigate to Lead Sources
2. Select 10 records per page
3. Verify displayed results
4. Select 25, 50, 100 sequentially</t>
  </si>
  <si>
    <t>Lead Management - Leads</t>
  </si>
  <si>
    <t>Leads page loads</t>
  </si>
  <si>
    <t>1. Go to Lead Management → Leads</t>
  </si>
  <si>
    <t>Leads list loads without errors</t>
  </si>
  <si>
    <t>Create Lead minimal required</t>
  </si>
  <si>
    <t>1. Add Lead 
2. Fill Lead Name 
3. Save</t>
  </si>
  <si>
    <t>Lead created and appears in list</t>
  </si>
  <si>
    <t>Create Lead with full details</t>
  </si>
  <si>
    <t>1. Fill Lead Name + Email + Phone + Company + 
Lead Status/Source + Assign To 
2. Save</t>
  </si>
  <si>
    <t>Lead saved; fields persist correctly</t>
  </si>
  <si>
    <t>Create Lead – invalid email format</t>
  </si>
  <si>
    <t>1. Email = aaa 
2. Save</t>
  </si>
  <si>
    <t>Validation error</t>
  </si>
  <si>
    <t>Create Lead – invalid phone format</t>
  </si>
  <si>
    <t>1. Phone contains letters 
2. Save</t>
  </si>
  <si>
    <t>Accepts phone with alphabetic 
characters</t>
  </si>
  <si>
    <t>(PASSED) 03/17/2026</t>
  </si>
  <si>
    <t>Create Lead – negative lead value</t>
  </si>
  <si>
    <t>1. Lead Value = -1 
2. Save</t>
  </si>
  <si>
    <t>Validation blocks negative value</t>
  </si>
  <si>
    <t>Toggle Lead status Active/Inactive</t>
  </si>
  <si>
    <t>1. Toggle lead status from list 
2. Refresh</t>
  </si>
  <si>
    <t>Lead status updates and persists</t>
  </si>
  <si>
    <t>View Lead details</t>
  </si>
  <si>
    <t>1. Click lead to open details</t>
  </si>
  <si>
    <t>Full lead details displayed correctly</t>
  </si>
  <si>
    <t>Edit Lead</t>
  </si>
  <si>
    <t>1. Open lead 
2. Update fields (status, source, notes) 
3. Save</t>
  </si>
  <si>
    <t>Edit Lead – remove required Lead Name</t>
  </si>
  <si>
    <t>1. Edit lead 
2. Clear Lead Name 
3. Save</t>
  </si>
  <si>
    <t>Validation error; cannot save invalid state</t>
  </si>
  <si>
    <t>Delete Lead</t>
  </si>
  <si>
    <t>1. Delete lead 
2. Confirm</t>
  </si>
  <si>
    <t>Lead removed</t>
  </si>
  <si>
    <t>Delete Lead – cancel confirmation</t>
  </si>
  <si>
    <t>1. Delete 
2. Cancel</t>
  </si>
  <si>
    <t>Lead remains unchanged</t>
  </si>
  <si>
    <t>Search Leads by Lead Name/Email/Company</t>
  </si>
  <si>
    <t xml:space="preserve">1. Search keyword from Lead </t>
  </si>
  <si>
    <t>Matching leads displayed</t>
  </si>
  <si>
    <t>“No results found” shown</t>
  </si>
  <si>
    <t>Filter by Lead Status</t>
  </si>
  <si>
    <t>1. Apply Lead Status filter</t>
  </si>
  <si>
    <t>Filter by Lead Source</t>
  </si>
  <si>
    <t>1. Apply Lead Source filter</t>
  </si>
  <si>
    <t>1. Apply Status filter</t>
  </si>
  <si>
    <t>Filter by Converted</t>
  </si>
  <si>
    <t>1. Apply Converted filter</t>
  </si>
  <si>
    <t>Shows only converted/unconverted leads</t>
  </si>
  <si>
    <t>Filter by Assigned To</t>
  </si>
  <si>
    <t>1. Select user in Assigned To filter</t>
  </si>
  <si>
    <t>Shows only leads assigned to user</t>
  </si>
  <si>
    <t>Clear filters restores full list</t>
  </si>
  <si>
    <t>1. Clear/Reset filters</t>
  </si>
  <si>
    <t>Change view: List → Kanban</t>
  </si>
  <si>
    <t>1. Change view to Kanban</t>
  </si>
  <si>
    <t>Kanban renders correctly with same dataset</t>
  </si>
  <si>
    <t>Change view: Kanban → Grid</t>
  </si>
  <si>
    <t>1. Change view to Grid</t>
  </si>
  <si>
    <t>Grid renders correctly with same dataset</t>
  </si>
  <si>
    <t>1. Navigate to Leads
2. Select 10 records per page
3. Verify displayed results
4. Select 25, 50, 100 sequentially</t>
  </si>
  <si>
    <t>Export leads</t>
  </si>
  <si>
    <t>1. Apply filter 
2. Click Export</t>
  </si>
  <si>
    <t>File downloads successfully with correct data</t>
  </si>
  <si>
    <t>Export with zero results</t>
  </si>
  <si>
    <t>1. Filter to no data 
2. Export</t>
  </si>
  <si>
    <t>Export produces empty file or blocks with message</t>
  </si>
  <si>
    <t>Import leads</t>
  </si>
  <si>
    <t>1. Click Import 
2. Upload valid template 
3. Confirm</t>
  </si>
  <si>
    <t>Leads imported; success summary shown</t>
  </si>
  <si>
    <t>Import missing required column</t>
  </si>
  <si>
    <t>1. Upload template missing Lead Name column</t>
  </si>
  <si>
    <t>Import not allowed with clear error</t>
  </si>
  <si>
    <t>Import duplicate leads behavior</t>
  </si>
  <si>
    <t>1. Import with duplicate emails/names 
2. Submit</t>
  </si>
  <si>
    <t>System Error Shown "Duplicate Email"</t>
  </si>
  <si>
    <t>Opportunity Management - Opportunity Stages</t>
  </si>
  <si>
    <t>Opportunity Stages page loads</t>
  </si>
  <si>
    <t>1. Go to Opportunity Management → Opportunity Stages</t>
  </si>
  <si>
    <t>Page loads with stage list</t>
  </si>
  <si>
    <t>Create Opportunity Stage</t>
  </si>
  <si>
    <t>1. Click Add 
2. Fill Stage Name + Color + Probability 
3. Optional Description/Status 
4. Save</t>
  </si>
  <si>
    <t>Stage created and appears in list</t>
  </si>
  <si>
    <t>Create Stage – required field validations</t>
  </si>
  <si>
    <t>1. Leave Stage Name/Color/Probability empty 
2. Save</t>
  </si>
  <si>
    <t>Validation errors shown; no record saved</t>
  </si>
  <si>
    <t>Create Stage – Probability below 0</t>
  </si>
  <si>
    <t>1. Probability = -1 
2. Save</t>
  </si>
  <si>
    <t>Create Stage – Probability above 100</t>
  </si>
  <si>
    <t>1. Probability = 101 
2. Save</t>
  </si>
  <si>
    <t>Create Stage – Probability non-numeric</t>
  </si>
  <si>
    <t>1. Probability = “abc” 
2. Save</t>
  </si>
  <si>
    <t>Create Stage – Probability decimal</t>
  </si>
  <si>
    <t>1. Probability = 12.5 
2. Save</t>
  </si>
  <si>
    <t>Create Stage – duplicate Stage Name</t>
  </si>
  <si>
    <t>1. Create stage with existing name 
2. Save</t>
  </si>
  <si>
    <t>Duplicate allowed consistently</t>
  </si>
  <si>
    <t>View stage details</t>
  </si>
  <si>
    <t>1. Open/View a stage</t>
  </si>
  <si>
    <t>Details show correct values</t>
  </si>
  <si>
    <t>Edit stage</t>
  </si>
  <si>
    <t>1. Edit name/color/probability 
2. Save</t>
  </si>
  <si>
    <t>Changes saved and reflected everywhere</t>
  </si>
  <si>
    <t>Edit stage – invalid probability update</t>
  </si>
  <si>
    <t>1. Edit stage 
2. Set probability = 200
3. Save</t>
  </si>
  <si>
    <t>Validation prevents invalid update</t>
  </si>
  <si>
    <t>Delete stage not used by opportunities</t>
  </si>
  <si>
    <t>1. Delete unused stage</t>
  </si>
  <si>
    <t>Stage removed from list</t>
  </si>
  <si>
    <t>Delete stage used by opportunities</t>
  </si>
  <si>
    <t>1. Delete stage currently assigned to opportunities</t>
  </si>
  <si>
    <t>Blocked OR requires reassignment</t>
  </si>
  <si>
    <t>Toggle stage inactive</t>
  </si>
  <si>
    <t>1. Toggle inactive 
2. Open Add Opportunity form</t>
  </si>
  <si>
    <t>Inactive stage hidden/disabled from selection and Kanban View</t>
  </si>
  <si>
    <t>Search stages by name</t>
  </si>
  <si>
    <t>Matching stages displayed</t>
  </si>
  <si>
    <t>Filter stages by status</t>
  </si>
  <si>
    <t>1. Navigate to Oppotunity Stages
2. Select 10 records per page
3. Verify displayed results
4. Select 25, 50, 100 sequentially</t>
  </si>
  <si>
    <t>Opportunity Management - Opportunity Sources</t>
  </si>
  <si>
    <t>Opportunity Sources page loads</t>
  </si>
  <si>
    <t>1. Go to Opportunity Management → Opportunity Sources</t>
  </si>
  <si>
    <t>Page loads successfully</t>
  </si>
  <si>
    <t>Create Opportunity Source</t>
  </si>
  <si>
    <t>1. Click Add 
2. Fill Source Name 
3. Optional Description/Status 
4. Save</t>
  </si>
  <si>
    <t>Create Source – Source Name required</t>
  </si>
  <si>
    <t>1. Leave Source Name blank 
2. Save</t>
  </si>
  <si>
    <t>Create Source – duplicate Source Name</t>
  </si>
  <si>
    <t>View Opportunity Source</t>
  </si>
  <si>
    <t>Correct values displayed</t>
  </si>
  <si>
    <t>Edit Opportunity Source</t>
  </si>
  <si>
    <t>1. Edit name/description/status 
2. Save</t>
  </si>
  <si>
    <t>Changes saved correctly</t>
  </si>
  <si>
    <t>Delete Source not used</t>
  </si>
  <si>
    <t>Source deleted</t>
  </si>
  <si>
    <t>Delete Source used by opportunities</t>
  </si>
  <si>
    <t>1. Delete source assigned to opportunities</t>
  </si>
  <si>
    <t>Toggle Source inactive</t>
  </si>
  <si>
    <t>Inactive source hidden/disabled</t>
  </si>
  <si>
    <t>Search Source by name</t>
  </si>
  <si>
    <t>Matching sources shown</t>
  </si>
  <si>
    <t>Filter Source by status</t>
  </si>
  <si>
    <t>Filter works correctly</t>
  </si>
  <si>
    <t>1. Navigate to Opportunity Sources
2. Select 10 records per page
3. Verify displayed results
4. Select 25, 50, 100 sequentially</t>
  </si>
  <si>
    <t>Opportunity Management - Opportunities</t>
  </si>
  <si>
    <t>Opportunities page loads</t>
  </si>
  <si>
    <t>1. Opportunity Management → Opportunities</t>
  </si>
  <si>
    <t>Opportunities list loads without error</t>
  </si>
  <si>
    <t>Create Opportunity minimal required</t>
  </si>
  <si>
    <t>1. Add Opportunity 
2. Fill Opportunity Name + Account + Stage + Source 
3) Save</t>
  </si>
  <si>
    <t>Opportunity created and shown in list</t>
  </si>
  <si>
    <t>Create Opportunity with full details</t>
  </si>
  <si>
    <t>1. Fill all fields (desc, close date, company, contact, notes, assign to) 
2. Save</t>
  </si>
  <si>
    <t>Opportunity saved; data persists correctly</t>
  </si>
  <si>
    <t>Create Opportunity – Opportunity Name required</t>
  </si>
  <si>
    <t>1. Leave Opportunity Name blank 
2. Save</t>
  </si>
  <si>
    <t>Create Opportunity – Account required</t>
  </si>
  <si>
    <t>1. Leave Account blank 
2. Save</t>
  </si>
  <si>
    <t>Create Opportunity – Stage required</t>
  </si>
  <si>
    <t>1. Leave Stage blank 
2. Save</t>
  </si>
  <si>
    <t>Create Opportunity – Source required</t>
  </si>
  <si>
    <t>1. Leave Source blank 
2. Save</t>
  </si>
  <si>
    <t>Close Date validation</t>
  </si>
  <si>
    <t>1. Set close date in the past (if rule exists) 2. Save</t>
  </si>
  <si>
    <t>Accepted or rejected consistently</t>
  </si>
  <si>
    <t>Account + Contact relationship validation</t>
  </si>
  <si>
    <t>1. Select Account A 
2. Select Contact from Account B 
3. Save</t>
  </si>
  <si>
    <t>System blocks mismatch OR auto-filters contacts by account</t>
  </si>
  <si>
    <t>Add product to opportunity</t>
  </si>
  <si>
    <t>1. Navigate to Opportunity Management → Opportunities
2. Click Add Opportunity
3. Enter Opportunity Name
4. Select Account
5. Select Stage
6. Select Source
7. Click Add under Products section
8. Select an existing product
9. Enter Quantity
10. Click Save</t>
  </si>
  <si>
    <t>Product line item is added and saved under the opportunity</t>
  </si>
  <si>
    <t>Product fields auto-filled from product master</t>
  </si>
  <si>
    <t>1. Add a product line
2. Select an existing product from dropdown</t>
  </si>
  <si>
    <t>Quantity, Unit Price, Tax Amount, and Line Total auto-populate from product master data</t>
  </si>
  <si>
    <t>Quantity field accepts valid values</t>
  </si>
  <si>
    <t>1. Select a product
2. Enter Quantity = 1 or more</t>
  </si>
  <si>
    <t>Quantity field accepts input and updates totals</t>
  </si>
  <si>
    <t>Quantity validation – zero value</t>
  </si>
  <si>
    <t>1. Select product
2. Enter Quantity = 0</t>
  </si>
  <si>
    <t>Validation error shown; cannot save</t>
  </si>
  <si>
    <t>Quantity validation – negative value</t>
  </si>
  <si>
    <t>1. Select product
2. Enter Quantity = -1</t>
  </si>
  <si>
    <t>Unit Price auto-filled correctly</t>
  </si>
  <si>
    <t>1. Select product with predefined price</t>
  </si>
  <si>
    <t>Unit Price matches product setup</t>
  </si>
  <si>
    <t>Unit Price manual override behavior</t>
  </si>
  <si>
    <t>1. Select product
2. Edit Unit Price manually</t>
  </si>
  <si>
    <t>System allows or blocks edit based on design</t>
  </si>
  <si>
    <t>Unit Price validation – negative value</t>
  </si>
  <si>
    <t>1. Enter Unit Price = -100</t>
  </si>
  <si>
    <t>Tax Amount is auto-filled and non-editable</t>
  </si>
  <si>
    <t>1. Select an existing product
2. Attempt to click or type in Tax Amount field</t>
  </si>
  <si>
    <t>Tax Amount field is read-only and cannot be edited</t>
  </si>
  <si>
    <t>Line Total is auto-filled and non-editable</t>
  </si>
  <si>
    <t>1. Select an existing product
2. Attempt to click or type in Line Total field</t>
  </si>
  <si>
    <t>Line Total field is read-only and cannot be edited</t>
  </si>
  <si>
    <t>Line Total auto-calculated correctly</t>
  </si>
  <si>
    <t>1. Select product
2. Enter Quantity</t>
  </si>
  <si>
    <t xml:space="preserve">Line Total = Quantity × Unit Price + Tax </t>
  </si>
  <si>
    <t>Line Total updates when quantity changes</t>
  </si>
  <si>
    <t>1. Change Quantity after initial entry</t>
  </si>
  <si>
    <t>Line Total recalculates automatically</t>
  </si>
  <si>
    <t>Line Total updates when unit price changes</t>
  </si>
  <si>
    <t>1. Modify Unit Price</t>
  </si>
  <si>
    <t>Line Total recalculates correctly</t>
  </si>
  <si>
    <t>Product with no tax configured</t>
  </si>
  <si>
    <t>1. Select product without tax</t>
  </si>
  <si>
    <t>Tax Amount defaults to 0; Line Total calculated correctly</t>
  </si>
  <si>
    <t>Change selected product updates calculated fields</t>
  </si>
  <si>
    <t>1. Select Product A
2. Observe values
3. Change to Product B</t>
  </si>
  <si>
    <t>Unit Price, Tax Amount, Line Total update to Product B</t>
  </si>
  <si>
    <t>Manual overrides reset on product change</t>
  </si>
  <si>
    <t>1. Select product
2. Edit Quantity/Unit Price
3. Change product</t>
  </si>
  <si>
    <t>Values reset based on new product</t>
  </si>
  <si>
    <t>Add multiple products to one opportunityAdd same product multiple times</t>
  </si>
  <si>
    <t>1. Add first product
2. Click Add again
3. Add second product</t>
  </si>
  <si>
    <t>Multiple line items saved correctly</t>
  </si>
  <si>
    <t>Remove product line before save</t>
  </si>
  <si>
    <t>1. Add product line
2. Click Remove/Delete icon</t>
  </si>
  <si>
    <t>Product line removed successfully</t>
  </si>
  <si>
    <t>Remove product line after save</t>
  </si>
  <si>
    <t>1. Save opportunity
2. Edit opportunity
3. Remove product</t>
  </si>
  <si>
    <t>Product removed; totals recalculated</t>
  </si>
  <si>
    <t>Missing product selection validation</t>
  </si>
  <si>
    <t>1. Click Add Product
2. Do not select product
3. Click Save</t>
  </si>
  <si>
    <t>Inactive product not selectable</t>
  </si>
  <si>
    <t>1. Mark product inactive
2. Open product dropdown</t>
  </si>
  <si>
    <t>Inactive product hidden</t>
  </si>
  <si>
    <t>Product data persists after save</t>
  </si>
  <si>
    <t>1. Save opportunity
2. Reopen opportunity</t>
  </si>
  <si>
    <t>Product, Tax Amount, and Line Total persist correctly</t>
  </si>
  <si>
    <t>Calculated fields remain non-editable after edit</t>
  </si>
  <si>
    <t>1. Edit existing opportunity
2. Try editing Tax Amount / Line Total</t>
  </si>
  <si>
    <t>Fields remain read-only</t>
  </si>
  <si>
    <t>View opportunity details</t>
  </si>
  <si>
    <t>1. Navigate to Opportunities
2. Select an opportunity from list
3. Open/View opportunity</t>
  </si>
  <si>
    <t>Opportunity details display correctly</t>
  </si>
  <si>
    <t>Edit opportunity</t>
  </si>
  <si>
    <t>1. Navigate to Opportunities
2. Select an opportunity
3. Click Edit
4. Modify fields
5. Click Save</t>
  </si>
  <si>
    <t>Opportunity updates successfully</t>
  </si>
  <si>
    <t>Delete opportunity</t>
  </si>
  <si>
    <t>1. Navigate to Opportunities
2. Select opportunity
3. Click Delete
4. Confirm deletion</t>
  </si>
  <si>
    <t>Opportunity is removed from the 
system</t>
  </si>
  <si>
    <t>Toggle opportunity status</t>
  </si>
  <si>
    <t>1. Navigate to Opportunities
2. Toggle Status Active/Inactive</t>
  </si>
  <si>
    <t>Opportunity status updates 
successfully</t>
  </si>
  <si>
    <t>Add notes to opportunity</t>
  </si>
  <si>
    <t>1. Navigate to Opportunities →
 Add/Edit Opportunity
2. Enter Notes
3. Save changes</t>
  </si>
  <si>
    <t>Notes are saved successfully in 
opportunity record</t>
  </si>
  <si>
    <t>Assign opportunity to 
user</t>
  </si>
  <si>
    <t>1. Navigate to Opportunities → 
Add/Edit Opportunity
2. Select Assign To user
3. Save changes</t>
  </si>
  <si>
    <t>Opportunity is assigned to selected 
user</t>
  </si>
  <si>
    <t>Search opportunities</t>
  </si>
  <si>
    <t>1. Navigate to Opportunities
2. Enter keyword in Search field</t>
  </si>
  <si>
    <t>Matching opportunities are displayed</t>
  </si>
  <si>
    <t>Filter by account</t>
  </si>
  <si>
    <t>1. Navigate to Opportunities
2. Apply Filter by Account</t>
  </si>
  <si>
    <t>Opportunities belonging to selected 
account are displayed</t>
  </si>
  <si>
    <t>Filter by stage</t>
  </si>
  <si>
    <t>1. Navigate to Opportunities
2. Apply Filter by Stage</t>
  </si>
  <si>
    <t>Opportunities with selected 
stage appear</t>
  </si>
  <si>
    <t>Filter by source</t>
  </si>
  <si>
    <t>1. Navigate to Opportunities
2. Apply Filter by Source</t>
  </si>
  <si>
    <t>Opportunities with selected source
 appear</t>
  </si>
  <si>
    <t>Filter by status</t>
  </si>
  <si>
    <t>1. Navigate to Opportunities
2. Apply Filter by Status</t>
  </si>
  <si>
    <t>Opportunities filtered by status appear</t>
  </si>
  <si>
    <t>Filter by assigned user</t>
  </si>
  <si>
    <t>1. Navigate to Opportunities
2. Apply Filter by Assigned To</t>
  </si>
  <si>
    <t>Opportunities assigned to selected 
user appear</t>
  </si>
  <si>
    <t>Change view to List</t>
  </si>
  <si>
    <t>1. Navigate to Opportunities
2. Select List View</t>
  </si>
  <si>
    <t>Opportunities display in list format</t>
  </si>
  <si>
    <t>Change view to Kanban</t>
  </si>
  <si>
    <t>1. Navigate to Opportunities
2. Select Kanban View</t>
  </si>
  <si>
    <t>Opportunities display in kanban board 
grouped by stage</t>
  </si>
  <si>
    <t>Change view to Grid</t>
  </si>
  <si>
    <t>1. Navigate to Opportunities
2. Select Grid View</t>
  </si>
  <si>
    <t>Opportunities display in grid layout</t>
  </si>
  <si>
    <t>1. Navigate to Account Types
2. Select 10 records per page
3. Verify displayed results
4. Select 25, 50, 100 sequentially</t>
  </si>
  <si>
    <t>Account Management - Account Types</t>
  </si>
  <si>
    <t>Account Types page loads</t>
  </si>
  <si>
    <t>1. Go to Account Management → Account Types</t>
  </si>
  <si>
    <t>Create Account Type</t>
  </si>
  <si>
    <t>1. Click Add Account Type
2. Enter Name
3. (Optional) Enter Description and select Color
4. Set Status = Active
5. Click Save</t>
  </si>
  <si>
    <t>Account Type is created and appears in list</t>
  </si>
  <si>
    <t>Create Account Type – Name required</t>
  </si>
  <si>
    <t>1. Click Add Account Type
2. Leave Name empty
3. Click Save</t>
  </si>
  <si>
    <t>Validation error shown; record not saved</t>
  </si>
  <si>
    <t>Create Account Type – duplicate Name</t>
  </si>
  <si>
    <t>1. Create Account Type with existing Name
2. Click Save</t>
  </si>
  <si>
    <t>View Account Type</t>
  </si>
  <si>
    <t>1. Click View on an Account Type</t>
  </si>
  <si>
    <t>Account Type details displayed correctly</t>
  </si>
  <si>
    <t>Edit Account Type</t>
  </si>
  <si>
    <t>1. Edit Name/Description/Color/Status
2. Click Save</t>
  </si>
  <si>
    <t>Changes saved and reflected in list</t>
  </si>
  <si>
    <t>Delete Account Type not in use</t>
  </si>
  <si>
    <t>1. Delete an unused Account Type</t>
  </si>
  <si>
    <t>Account Type deleted successfully</t>
  </si>
  <si>
    <t>Delete Account Type in use by Accounts</t>
  </si>
  <si>
    <t>1. Attempt to delete Account Type assigned to Accounts</t>
  </si>
  <si>
    <t>System blocks deletion or requires reassignment</t>
  </si>
  <si>
    <t>Toggle Account Type status</t>
  </si>
  <si>
    <t>1. Toggle status Active ↔ Inactive</t>
  </si>
  <si>
    <t>Status updated and persists after refresh</t>
  </si>
  <si>
    <t>Inactive Account Type hidden in Account form</t>
  </si>
  <si>
    <t>1. Set Account Type to Inactive
2. Open Add Account form</t>
  </si>
  <si>
    <t>Inactive type is hidden or disabled</t>
  </si>
  <si>
    <t>Search Account Type</t>
  </si>
  <si>
    <t xml:space="preserve">1. Enter keyword in Search field
</t>
  </si>
  <si>
    <t>Matching Account Types displayed</t>
  </si>
  <si>
    <t>Filter Account Type by Status</t>
  </si>
  <si>
    <t>1. Apply Active/Inactive filter</t>
  </si>
  <si>
    <t>1. Navigate to Opportunities
2. Select 10 records per page
3. Verify displayed results
4. Select 25, 50, 100 sequentially</t>
  </si>
  <si>
    <t>Account Management - Account Industries</t>
  </si>
  <si>
    <t>Account Industries page loads</t>
  </si>
  <si>
    <t>1. Go to Account Management → Account Industries</t>
  </si>
  <si>
    <t>1. Click Add Account Industry
2. Enter Name
3. (Optional) Enter Description and select Color
4. Set Status = Active
5. Click Save</t>
  </si>
  <si>
    <t>Account Industry created and appears in list</t>
  </si>
  <si>
    <t>Create Account Industry – Name required</t>
  </si>
  <si>
    <t>1. Leave Name empty
2. Click Save</t>
  </si>
  <si>
    <t>Create Account Industry – duplicate Name</t>
  </si>
  <si>
    <t>1. Create Industry with existing Name</t>
  </si>
  <si>
    <t>Duplicate blocked or allowed consistently</t>
  </si>
  <si>
    <t>View Account Industry</t>
  </si>
  <si>
    <t>1. View Industry details</t>
  </si>
  <si>
    <t>Details displayed correctly</t>
  </si>
  <si>
    <t>Edit Account Industry</t>
  </si>
  <si>
    <t>1. Edit fields
2. Click Save</t>
  </si>
  <si>
    <t>Delete Account Industry not in use</t>
  </si>
  <si>
    <t>1. Delete unused Industry</t>
  </si>
  <si>
    <t>Industry deleted successfully</t>
  </si>
  <si>
    <t>Delete Account Industry in use</t>
  </si>
  <si>
    <t>1. Attempt delete Industry used by Accounts</t>
  </si>
  <si>
    <t>System blocks delete or requires reassignmen</t>
  </si>
  <si>
    <t>Toggle Industry status</t>
  </si>
  <si>
    <t>1. Toggle Active/Inactive</t>
  </si>
  <si>
    <t>Status persists after refresh</t>
  </si>
  <si>
    <t>Inactive Industry hidden in Account form</t>
  </si>
  <si>
    <t>1. Set Industry inactive
2. Open Add Account form</t>
  </si>
  <si>
    <t>Inactive Industry hidden or disabled</t>
  </si>
  <si>
    <t>Search Account Industry</t>
  </si>
  <si>
    <t>1. Search by Name</t>
  </si>
  <si>
    <t>Matching results shown</t>
  </si>
  <si>
    <t>Filter Industry by Status</t>
  </si>
  <si>
    <t>1. Navigate to Account Industries
2. Select 10 records per page
3. Verify displayed results
4. Select 25, 50, 100 sequentially</t>
  </si>
  <si>
    <t>Header</t>
  </si>
  <si>
    <t>Menu Icon</t>
  </si>
  <si>
    <r>
      <rPr>
        <rFont val="Calibri"/>
        <color theme="1"/>
        <sz val="10.0"/>
      </rPr>
      <t xml:space="preserve">1. Click </t>
    </r>
    <r>
      <rPr>
        <rFont val="Calibri"/>
        <b/>
        <color theme="1"/>
        <sz val="10.0"/>
      </rPr>
      <t xml:space="preserve">Menu </t>
    </r>
    <r>
      <rPr>
        <rFont val="Calibri"/>
        <color theme="1"/>
        <sz val="10.0"/>
      </rPr>
      <t>icon</t>
    </r>
  </si>
  <si>
    <t>• Menu will collapse/uncollapse</t>
  </si>
  <si>
    <t>NOT YET STARTED</t>
  </si>
  <si>
    <t>Bell Icon</t>
  </si>
  <si>
    <r>
      <rPr>
        <rFont val="Calibri"/>
        <color theme="1"/>
        <sz val="10.0"/>
      </rPr>
      <t xml:space="preserve">1. Click </t>
    </r>
    <r>
      <rPr>
        <rFont val="Calibri"/>
        <b/>
        <color theme="1"/>
        <sz val="10.0"/>
      </rPr>
      <t xml:space="preserve">Bell </t>
    </r>
    <r>
      <rPr>
        <rFont val="Calibri"/>
        <color theme="1"/>
        <sz val="10.0"/>
      </rPr>
      <t xml:space="preserve">icon </t>
    </r>
  </si>
  <si>
    <t>• Notifications will appear</t>
  </si>
  <si>
    <t>Profile Header</t>
  </si>
  <si>
    <t>1. View Profile Header</t>
  </si>
  <si>
    <t xml:space="preserve">• User must be able to see this 
- Profile Image
- Name (First Name, Last Name) 
- Downward Arrow </t>
  </si>
  <si>
    <t>Profile Header - Downard Arrow</t>
  </si>
  <si>
    <r>
      <rPr>
        <rFont val="Calibri"/>
        <color theme="1"/>
        <sz val="10.0"/>
      </rPr>
      <t xml:space="preserve">1. Click </t>
    </r>
    <r>
      <rPr>
        <rFont val="Calibri"/>
        <b/>
        <color theme="1"/>
        <sz val="10.0"/>
      </rPr>
      <t>Downward Arrow</t>
    </r>
    <r>
      <rPr>
        <rFont val="Calibri"/>
        <color theme="1"/>
        <sz val="10.0"/>
      </rPr>
      <t xml:space="preserve"> icon</t>
    </r>
  </si>
  <si>
    <t>• User must be able to see the Profile settings and logout</t>
  </si>
  <si>
    <t>Downard Arrow - Profile Settings</t>
  </si>
  <si>
    <r>
      <rPr>
        <rFont val="Calibri"/>
        <color theme="1"/>
        <sz val="10.0"/>
      </rPr>
      <t xml:space="preserve">1. Click </t>
    </r>
    <r>
      <rPr>
        <rFont val="Calibri"/>
        <b/>
        <color theme="1"/>
        <sz val="10.0"/>
      </rPr>
      <t>Downward Arrow</t>
    </r>
    <r>
      <rPr>
        <rFont val="Calibri"/>
        <color theme="1"/>
        <sz val="10.0"/>
      </rPr>
      <t xml:space="preserve"> icon
2. Click </t>
    </r>
    <r>
      <rPr>
        <rFont val="Calibri"/>
        <b/>
        <color theme="1"/>
        <sz val="10.0"/>
      </rPr>
      <t xml:space="preserve">Profile settings </t>
    </r>
    <r>
      <rPr>
        <rFont val="Calibri"/>
        <color theme="1"/>
        <sz val="10.0"/>
      </rPr>
      <t>Button</t>
    </r>
  </si>
  <si>
    <t>• User must be redirected to Profile settings page</t>
  </si>
  <si>
    <t>Downard Arrow - Log out</t>
  </si>
  <si>
    <r>
      <rPr>
        <rFont val="Calibri"/>
        <color theme="1"/>
        <sz val="10.0"/>
      </rPr>
      <t xml:space="preserve">1. Click </t>
    </r>
    <r>
      <rPr>
        <rFont val="Calibri"/>
        <b/>
        <color theme="1"/>
        <sz val="10.0"/>
      </rPr>
      <t>Downward Arrow</t>
    </r>
    <r>
      <rPr>
        <rFont val="Calibri"/>
        <color theme="1"/>
        <sz val="10.0"/>
      </rPr>
      <t xml:space="preserve"> icon
2. Click </t>
    </r>
    <r>
      <rPr>
        <rFont val="Calibri"/>
        <b/>
        <color theme="1"/>
        <sz val="10.0"/>
      </rPr>
      <t xml:space="preserve">Logout </t>
    </r>
    <r>
      <rPr>
        <rFont val="Calibri"/>
        <color theme="1"/>
        <sz val="10.0"/>
      </rPr>
      <t>Button</t>
    </r>
  </si>
  <si>
    <t>• User must be able to logout and close the access session
• user will redirect to admin login</t>
  </si>
  <si>
    <t>Notification</t>
  </si>
  <si>
    <t>Notifications</t>
  </si>
  <si>
    <r>
      <rPr>
        <rFont val="Calibri"/>
        <color theme="1"/>
        <sz val="10.0"/>
      </rPr>
      <t xml:space="preserve">1. Click </t>
    </r>
    <r>
      <rPr>
        <rFont val="Calibri"/>
        <b/>
        <color theme="1"/>
        <sz val="10.0"/>
      </rPr>
      <t xml:space="preserve">Bell </t>
    </r>
    <r>
      <rPr>
        <rFont val="Calibri"/>
        <color theme="1"/>
        <sz val="10.0"/>
      </rPr>
      <t>icon
2. Click any Notification</t>
    </r>
  </si>
  <si>
    <t>• User will be redirected to the notification (Tuition fees, Other transaction)</t>
  </si>
  <si>
    <t>Account Management - Accounts</t>
  </si>
  <si>
    <t>Account page loads</t>
  </si>
  <si>
    <t>1. Go to Account Management → Account</t>
  </si>
  <si>
    <t>Accounts list loads successfully</t>
  </si>
  <si>
    <t>Create Account minimal required</t>
  </si>
  <si>
    <t>1. Click Add Account
2. Enter Account Name
3. Click Save</t>
  </si>
  <si>
    <t>Account created and appears in list</t>
  </si>
  <si>
    <t>Create Account with full details</t>
  </si>
  <si>
    <t>1. Fill all account fields
2. Click Save</t>
  </si>
  <si>
    <t>Account saved with all data persisted</t>
  </si>
  <si>
    <t>Account Name required validation</t>
  </si>
  <si>
    <t>1. Leave Account Name empty
2. Click Save</t>
  </si>
  <si>
    <t>Invalid email format</t>
  </si>
  <si>
    <t>1. Enter invalid email
2. Click Save</t>
  </si>
  <si>
    <t>Invalid phone number format</t>
  </si>
  <si>
    <t>1. Enter letters in Phone field</t>
  </si>
  <si>
    <t>Website URL validation</t>
  </si>
  <si>
    <t>1. Enter invalid website URL</t>
  </si>
  <si>
    <t>Enter Billing Address fields</t>
  </si>
  <si>
    <t>1. Navigate to Account Management → Accounts
2. Click Add Account
3. Enter Account Name
4. Enter Billing Address
5. Enter Billing City
6. Enter Billing State
7. Enter Billing Postal Code
8. Enter Billing Country
9. Click Save</t>
  </si>
  <si>
    <t>Billing Address fields are saved correctly</t>
  </si>
  <si>
    <t>Edit Billing Address after save</t>
  </si>
  <si>
    <t>1. Open existing Account
2. Update Billing Address fields
3. Click Save</t>
  </si>
  <si>
    <t>Updated Billing Address is saved correctly</t>
  </si>
  <si>
    <t>Billing Address accepts alphanumeric characters</t>
  </si>
  <si>
    <t>1. Enter letters and numbers in Billing fields</t>
  </si>
  <si>
    <t>Fields accept valid characters</t>
  </si>
  <si>
    <t>Billing Address allows special characters</t>
  </si>
  <si>
    <t>1. Enter special characters (.,-/)</t>
  </si>
  <si>
    <t>Characters accepted or safely validated</t>
  </si>
  <si>
    <t>Billing Address with partial fields</t>
  </si>
  <si>
    <t>1. Enter only Billing Address
2. Leave City/State empty
3. Save</t>
  </si>
  <si>
    <t>Partial Billing Address saved (if optional)</t>
  </si>
  <si>
    <t>Billing Address does not auto-copy to Shipping</t>
  </si>
  <si>
    <t>1. Enter Billing Address
2. Do NOT click Copy button</t>
  </si>
  <si>
    <t>Shipping Address remains unchanged</t>
  </si>
  <si>
    <t>Copy Billing to Shipping</t>
  </si>
  <si>
    <t>1. Enter Billing Address fields
2. Click Copy Billing to Shipping button</t>
  </si>
  <si>
    <t>Shipping fields auto-filled correctly</t>
  </si>
  <si>
    <t>Copy Billing overwrites existing Shipping data</t>
  </si>
  <si>
    <t>1. Fill Shipping fields
2. Click Copy Billing to Shipping</t>
  </si>
  <si>
    <t>Shipping data overwritten or confirmation shown</t>
  </si>
  <si>
    <t>Billing address remains editable after copy</t>
  </si>
  <si>
    <t>1. Use Copy Billing
2. Edit Billing Address</t>
  </si>
  <si>
    <t>Billing fields remain editable</t>
  </si>
  <si>
    <t>Shipping address remains editable after copy</t>
  </si>
  <si>
    <t>1. Use Copy Billing
2. Edit Shipping Address</t>
  </si>
  <si>
    <t>Shipping fields remain editable</t>
  </si>
  <si>
    <t>Assign To field behavior</t>
  </si>
  <si>
    <t>1. Select user in Assign To</t>
  </si>
  <si>
    <t>Account assigned to selected user</t>
  </si>
  <si>
    <t>Type selection reflects Account Type</t>
  </si>
  <si>
    <t>1. Select Account Type
2. Save and reopen</t>
  </si>
  <si>
    <t>Type persists correctly</t>
  </si>
  <si>
    <t>Industry selection reflects Account Industry</t>
  </si>
  <si>
    <t>1. Select Industry
2. Save and reopen</t>
  </si>
  <si>
    <t>Industry persists correctly</t>
  </si>
  <si>
    <t>Toggle Account status Active/Inactive</t>
  </si>
  <si>
    <t>1. Toggle status
2. Refresh page</t>
  </si>
  <si>
    <t>Status updated and persisted</t>
  </si>
  <si>
    <t>Inactive Account behavior</t>
  </si>
  <si>
    <t>1. Set Account to Inactive
2. Attempt to link in Leads/Opportunities</t>
  </si>
  <si>
    <t>Inactive Account hidden or blocked</t>
  </si>
  <si>
    <t>View Account details</t>
  </si>
  <si>
    <t>1. Open an Account</t>
  </si>
  <si>
    <t>All account details displayed correctly</t>
  </si>
  <si>
    <t>Edit Account</t>
  </si>
  <si>
    <t>Changes saved and reflected</t>
  </si>
  <si>
    <t>Delete Account not linked to records</t>
  </si>
  <si>
    <t>1. Delete Account with no dependencies</t>
  </si>
  <si>
    <t>Account deleted successfully</t>
  </si>
  <si>
    <t>Delete Account linked to Opportunities</t>
  </si>
  <si>
    <t>1. Attempt to delete linked Account</t>
  </si>
  <si>
    <t>System blocks delete or requires reassignment</t>
  </si>
  <si>
    <t xml:space="preserve">Allows Deletion of Accounts linked to 
opportunities 
Deleted Account also deletes 
opportunity data related to it
</t>
  </si>
  <si>
    <t>Search Accounts</t>
  </si>
  <si>
    <t>1. Enter keyword</t>
  </si>
  <si>
    <t>Matching accounts shown</t>
  </si>
  <si>
    <t>Filter by Type</t>
  </si>
  <si>
    <t>1. Apply Type filter</t>
  </si>
  <si>
    <t>Filter by Industry</t>
  </si>
  <si>
    <t>1. Apply Industry filter</t>
  </si>
  <si>
    <t>Filter by Assigned to</t>
  </si>
  <si>
    <t>1. Apply Assigned to filter</t>
  </si>
  <si>
    <t>Combine filters</t>
  </si>
  <si>
    <t>1. Apply multiple filters</t>
  </si>
  <si>
    <t>Results satisfy all filters</t>
  </si>
  <si>
    <t>1. Clear filters</t>
  </si>
  <si>
    <t>1. Navigate to Accounts
2. Select 10 records per page
3. Verify displayed results
4. Select 25, 50, 100 sequentially</t>
  </si>
  <si>
    <t>Change View: List → Grid</t>
  </si>
  <si>
    <t>1. Switch view</t>
  </si>
  <si>
    <t>Grid view displays correct data</t>
  </si>
  <si>
    <t>Contacts page loads</t>
  </si>
  <si>
    <t>1. Navigate to Contacts module</t>
  </si>
  <si>
    <t>Contacts list page loads successfully</t>
  </si>
  <si>
    <t>Create Contact – minimal required</t>
  </si>
  <si>
    <t>1. Click Add Contact
2. Enter Contact Name
3. Select Account
4. Click Save</t>
  </si>
  <si>
    <t>Contact created and appears in list</t>
  </si>
  <si>
    <t>Create Contact – full details</t>
  </si>
  <si>
    <t>1. Fill all fields in Add Contact form
2. Click Save</t>
  </si>
  <si>
    <t>Contact saved with all details persisted</t>
  </si>
  <si>
    <t>Contact Name required validation</t>
  </si>
  <si>
    <t>1. Leave Contact Name empty
2. Click Save</t>
  </si>
  <si>
    <t>Account required validation</t>
  </si>
  <si>
    <t>1. Leave Account empty
2. Click Save</t>
  </si>
  <si>
    <t>1. Enter invalid email (e.g. aaa@)
2. Click Save</t>
  </si>
  <si>
    <t>Invalid phone format</t>
  </si>
  <si>
    <t>1. Enter letters in Phone field
2. Click Save</t>
  </si>
  <si>
    <t>Contact assigned correctly</t>
  </si>
  <si>
    <t>Inactive Contact behavior</t>
  </si>
  <si>
    <t>1. Set Contact to Inactive
2. Attempt to select in Opportunities/Leads</t>
  </si>
  <si>
    <t>Inactive contact hidden</t>
  </si>
  <si>
    <t>View Contact details</t>
  </si>
  <si>
    <t>1. Click a Contact from list</t>
  </si>
  <si>
    <t>Contact details displayed correctly</t>
  </si>
  <si>
    <t>Edit Contact</t>
  </si>
  <si>
    <t>1. Open Contact
2. Edit fields
3. Click Save</t>
  </si>
  <si>
    <t>Edit Contact – remove required fields</t>
  </si>
  <si>
    <t>1. Edit Contact
2. Clear Contact Name or Account
3. Save</t>
  </si>
  <si>
    <t>Delete Contact</t>
  </si>
  <si>
    <t>1. Click Delete
2. Confirm deletion</t>
  </si>
  <si>
    <t>Contact removed and inaccessible</t>
  </si>
  <si>
    <t>Delete Contact – cancel confirmation</t>
  </si>
  <si>
    <t>1. Click Delete
2. Cancel</t>
  </si>
  <si>
    <t>Contact remains unchanged</t>
  </si>
  <si>
    <t>Search Contact by Name</t>
  </si>
  <si>
    <t>1. Enter Contact Name keyword</t>
  </si>
  <si>
    <t>Matching contacts displayed</t>
  </si>
  <si>
    <t>Search Contact – no results state</t>
  </si>
  <si>
    <t>“No results found” message shown</t>
  </si>
  <si>
    <t>Filter Contacts by Status</t>
  </si>
  <si>
    <t>Correct results shown</t>
  </si>
  <si>
    <t>Filter Contacts by Assigned To</t>
  </si>
  <si>
    <t>1. Apply Assigned To filter</t>
  </si>
  <si>
    <t>Clear filters restores list</t>
  </si>
  <si>
    <t>Full contact list restored</t>
  </si>
  <si>
    <t>1. Navigate to Contacts
2. Select 10 records per page
3. Verify displayed results
4. Select 25, 50, 100 sequentially</t>
  </si>
  <si>
    <t>Wedding Suppliers module 
visibility for eligible plans</t>
  </si>
  <si>
    <t>1. Login as Company User with Starter/Growth/Pro plan
2. Check module list</t>
  </si>
  <si>
    <t>Wedding Suppliers module is visible</t>
  </si>
  <si>
    <t>Wedding Suppliers module 
hidden for Free plan</t>
  </si>
  <si>
    <t>1. Login as Company User with Free plan
2. Check module list</t>
  </si>
  <si>
    <t>Wedding Suppliers module is not visible</t>
  </si>
  <si>
    <t>Wedding Suppliers page loads</t>
  </si>
  <si>
    <t>1. Navigate to Wedding Suppliers module</t>
  </si>
  <si>
    <t>Wedding Suppliers page loads 
successfully displaying supplier list</t>
  </si>
  <si>
    <t>View wedding supplier details</t>
  </si>
  <si>
    <t>1. Navigate to Wedding Suppliers module
2. Open a supplier record</t>
  </si>
  <si>
    <t>Supplier details are displayed correctly</t>
  </si>
  <si>
    <t>Search wedding suppliers by 
name</t>
  </si>
  <si>
    <t>1. Enter supplier name in Search field</t>
  </si>
  <si>
    <t>Matching suppliers are displayed</t>
  </si>
  <si>
    <t>Search with no matching 
supplier</t>
  </si>
  <si>
    <t>1. Enter non-existing keyword in Search</t>
  </si>
  <si>
    <t>System displays No results found 
message</t>
  </si>
  <si>
    <t>Clear search results</t>
  </si>
  <si>
    <t>1. Enter keyword in Search
2. Clear search field</t>
  </si>
  <si>
    <t>Full supplier list is displayed again</t>
  </si>
  <si>
    <t>Filter suppliers by category</t>
  </si>
  <si>
    <t xml:space="preserve">1. Select Category filter
2. Choose category </t>
  </si>
  <si>
    <t>Suppliers belonging to selected 
category are displayed</t>
  </si>
  <si>
    <t>Remove category filter</t>
  </si>
  <si>
    <t>1. Apply category filter
2. Clear filter</t>
  </si>
  <si>
    <t>All suppliers are displayed again</t>
  </si>
  <si>
    <t>Search and filter combination</t>
  </si>
  <si>
    <t>1. Apply Category filter
2. Enter keyword in Search</t>
  </si>
  <si>
    <t>Results match both search keyword 
and selected category</t>
  </si>
  <si>
    <t>Taxes page loads</t>
  </si>
  <si>
    <t>1. Navigate to Product Setup → Taxes</t>
  </si>
  <si>
    <t>Taxes list page loads successfully</t>
  </si>
  <si>
    <t>Create Tax</t>
  </si>
  <si>
    <t>1. Click Add Tax
2. Enter Tax Name
3. Enter Rate
4. Select Type
5. Set Status = Active
6. Click Save</t>
  </si>
  <si>
    <t>Tax created and appears in list</t>
  </si>
  <si>
    <t>Tax Name required validation</t>
  </si>
  <si>
    <t>1. Leave Tax Name empty
2. Click Save</t>
  </si>
  <si>
    <t>Rate required</t>
  </si>
  <si>
    <t>1. Leave Rate empty
2. Click Save</t>
  </si>
  <si>
    <t>Rate validation – negative value</t>
  </si>
  <si>
    <t>1. Enter Rate = -1
2. Click Save</t>
  </si>
  <si>
    <t>Rate validation – non-numeric</t>
  </si>
  <si>
    <t>1. Enter Rate = abc
2. Click Save</t>
  </si>
  <si>
    <t>Rate validation – above max (percentage)</t>
  </si>
  <si>
    <t>1. Set Type = Percentage
2. Enter Rate &gt; 100</t>
  </si>
  <si>
    <t>Tax Type behavior</t>
  </si>
  <si>
    <t>1. Create Tax with different Types</t>
  </si>
  <si>
    <t>Rate interpreted correctly based on Type</t>
  </si>
  <si>
    <t>Create duplicate Tax Name</t>
  </si>
  <si>
    <t>1. Create Tax with existing name</t>
  </si>
  <si>
    <t>View Tax details</t>
  </si>
  <si>
    <t>1. Click View Tax</t>
  </si>
  <si>
    <t>Tax details displayed correctly</t>
  </si>
  <si>
    <t>Edit Tax</t>
  </si>
  <si>
    <t>1. Edit Rate/Description/Status
2. Click Save</t>
  </si>
  <si>
    <t>Toggle Tax status</t>
  </si>
  <si>
    <t>1. Toggle Active ↔ Inactive</t>
  </si>
  <si>
    <t>Status updated and persists</t>
  </si>
  <si>
    <t>Inactive Tax behavior</t>
  </si>
  <si>
    <t>1. Set Tax inactive
2. Add Product/Opportunity</t>
  </si>
  <si>
    <t>Inactive Tax not selectable</t>
  </si>
  <si>
    <t>Delete unused Tax</t>
  </si>
  <si>
    <t>1. Delete Tax not linked to products</t>
  </si>
  <si>
    <t>Tax deleted successfully</t>
  </si>
  <si>
    <t>Delete Tax in use</t>
  </si>
  <si>
    <t>1. Attempt delete Tax linked to products</t>
  </si>
  <si>
    <t>System blocks delete or warns user</t>
  </si>
  <si>
    <t>System allows deletion of tax
used by products record</t>
  </si>
  <si>
    <t>Search Tax</t>
  </si>
  <si>
    <t>1. Enter keyword in Search</t>
  </si>
  <si>
    <t>Matching taxes shown</t>
  </si>
  <si>
    <t>Filter Tax by Status</t>
  </si>
  <si>
    <t>1. Navigate to Taxes
2. Select 10 records per page
3. Verify displayed results
4. Select 25, 50, 100 sequentially</t>
  </si>
  <si>
    <t>Brands page loads</t>
  </si>
  <si>
    <t>1. Navigate to Product Setup → Brands</t>
  </si>
  <si>
    <t>Brands list loads successfully</t>
  </si>
  <si>
    <t>Create Brand</t>
  </si>
  <si>
    <t>1. Click Add Brand
2. Enter Brand Name
3. Enter Website (optional)
4. Set Status = Active
5. Click Save</t>
  </si>
  <si>
    <t>Brand created and appears in list</t>
  </si>
  <si>
    <t>Brand Name required validation</t>
  </si>
  <si>
    <t>1. Leave Brand Name empty
2. Click Save</t>
  </si>
  <si>
    <t>Create duplicate Brand Name</t>
  </si>
  <si>
    <t>1. Create Brand with existing name</t>
  </si>
  <si>
    <t>View Brand details</t>
  </si>
  <si>
    <t>1. Click View Brand</t>
  </si>
  <si>
    <t>Brand details displayed correctly</t>
  </si>
  <si>
    <t>Edit Brand</t>
  </si>
  <si>
    <t>1. Edit Brand details
2. Click Save</t>
  </si>
  <si>
    <t>Changes saved successfully</t>
  </si>
  <si>
    <t>Toggle Brand status</t>
  </si>
  <si>
    <t>Inactive Brand behavior</t>
  </si>
  <si>
    <t>1. Set Brand inactive
2. Add/Edit Product</t>
  </si>
  <si>
    <t>Inactive Brand hidden</t>
  </si>
  <si>
    <t>Delete unused Brand</t>
  </si>
  <si>
    <t>1. Delete Brand not linked to products</t>
  </si>
  <si>
    <t>Brand deleted successfully</t>
  </si>
  <si>
    <t>Delete Brand in use</t>
  </si>
  <si>
    <t>1. Attempt delete Brand linked to products</t>
  </si>
  <si>
    <t>System allows deletion of brands 
used by products record</t>
  </si>
  <si>
    <t>Search Brand</t>
  </si>
  <si>
    <t>Matching brands shown</t>
  </si>
  <si>
    <t>Filter Brand by Status</t>
  </si>
  <si>
    <t>1. Navigate to Brands
2. Select 10 records per page
3. Verify displayed results
4. Select 25, 50, 100 sequentially</t>
  </si>
  <si>
    <t>Categories page loads</t>
  </si>
  <si>
    <t>1. Navigate to Product Setup → Categories</t>
  </si>
  <si>
    <t>Categories list loads successfully</t>
  </si>
  <si>
    <t>Create Category</t>
  </si>
  <si>
    <t>1. Click Add Category
2. Enter Category Name
3. Enter Slug (if editable)
4. Set Status = Active
5. Click Save</t>
  </si>
  <si>
    <t>Category created and appears in list</t>
  </si>
  <si>
    <t>Category Name required validation</t>
  </si>
  <si>
    <t>1. Leave Category Name empty
2. Click Save</t>
  </si>
  <si>
    <t>View Category details</t>
  </si>
  <si>
    <t>1. Click View Category</t>
  </si>
  <si>
    <t>Category details displayed correctly</t>
  </si>
  <si>
    <t>Edit Category</t>
  </si>
  <si>
    <t>Toggle Category status</t>
  </si>
  <si>
    <t>Inactive Category behavior</t>
  </si>
  <si>
    <t>1. Set Category inactive
2. Add/Edit Product</t>
  </si>
  <si>
    <t>Inactive Category hidden</t>
  </si>
  <si>
    <t>Delete unused Category</t>
  </si>
  <si>
    <t>1. Delete Category not linked to products</t>
  </si>
  <si>
    <t>Category deleted successfully</t>
  </si>
  <si>
    <t>Delete Category in use</t>
  </si>
  <si>
    <t>1. Attempt delete Category linked to products</t>
  </si>
  <si>
    <t>System allows deletion of categories used by products record</t>
  </si>
  <si>
    <t>Search Category</t>
  </si>
  <si>
    <t>1. Search by Category Name</t>
  </si>
  <si>
    <t>Matching categories displayed</t>
  </si>
  <si>
    <t>Filter Category by Status</t>
  </si>
  <si>
    <t>1. Navigate to Categories
2. Select 10 records per page
3. Verify displayed results
4. Select 25, 50, 100 sequentially</t>
  </si>
  <si>
    <t>Products page loads</t>
  </si>
  <si>
    <t>1. Navigate to Products module</t>
  </si>
  <si>
    <t>Products list page loads successfully</t>
  </si>
  <si>
    <t>Create Product – minimal required</t>
  </si>
  <si>
    <t>1. Click Add Product
2. Enter Product Name
3. Enter SKU
4. Enter Price
5. Enter Stock Quantity
6. Click Save</t>
  </si>
  <si>
    <t>Product created and appears in list</t>
  </si>
  <si>
    <t>Create Product – full details</t>
  </si>
  <si>
    <t>1. Fill all product fields
2. Click Save</t>
  </si>
  <si>
    <t>Product saved with all details persisted</t>
  </si>
  <si>
    <t>Product Name required validation</t>
  </si>
  <si>
    <t>1. Leave Product Name empty
2. Click Save</t>
  </si>
  <si>
    <t>SKU required validation</t>
  </si>
  <si>
    <t>1. Leave SKU empty
2. Click Save</t>
  </si>
  <si>
    <t>SKU uniqueness validation</t>
  </si>
  <si>
    <t>1. Create product with existing SKU</t>
  </si>
  <si>
    <t>Duplicate SKU blocked</t>
  </si>
  <si>
    <t>Price required validation</t>
  </si>
  <si>
    <t>1. Leave Price empty
2. Click Save</t>
  </si>
  <si>
    <t>Price validation – negative value</t>
  </si>
  <si>
    <t>1. Enter Price = -1
2. Click Save</t>
  </si>
  <si>
    <t>Stock Quantity required validation</t>
  </si>
  <si>
    <t>1. Leave Stock Quantity empty
2. Click Save</t>
  </si>
  <si>
    <t>Stock Quantity validation – negative value</t>
  </si>
  <si>
    <t>1. Enter Stock Quantity = -5
2. Click Save</t>
  </si>
  <si>
    <t>Stock Quantity validation – zero value</t>
  </si>
  <si>
    <t>1. Enter Stock Quantity = 0
2. Click Save</t>
  </si>
  <si>
    <t>Category selection</t>
  </si>
  <si>
    <t>1. Select Category
2. Save and reopen product</t>
  </si>
  <si>
    <t>Category persists correctly</t>
  </si>
  <si>
    <t>Brand selection</t>
  </si>
  <si>
    <t>1. Select Brand
2. Save and reopen product</t>
  </si>
  <si>
    <t>Tax persists and applies downstream</t>
  </si>
  <si>
    <t>Tax selection</t>
  </si>
  <si>
    <t>1. Select Tax
2. Save and reopen product</t>
  </si>
  <si>
    <t>Assign To behavior</t>
  </si>
  <si>
    <t>1. Select user in Assign To
2. Save</t>
  </si>
  <si>
    <t>Product assigned correctly</t>
  </si>
  <si>
    <t>Upload Main Image</t>
  </si>
  <si>
    <t>1. Add Product
2. Upload Main Image
3. Save</t>
  </si>
  <si>
    <t>Main image uploaded and displayed</t>
  </si>
  <si>
    <t>Upload Additional Images</t>
  </si>
  <si>
    <t>1. Upload multiple additional images</t>
  </si>
  <si>
    <t>All images uploaded successfully</t>
  </si>
  <si>
    <t>Remove uploaded image before save</t>
  </si>
  <si>
    <t>1. Upload image
2. Remove image</t>
  </si>
  <si>
    <t>Image removed successfully</t>
  </si>
  <si>
    <t>Image persistence after save</t>
  </si>
  <si>
    <t>1. Save product
2. Reopen product</t>
  </si>
  <si>
    <t>Images persist correctly</t>
  </si>
  <si>
    <t>View Product details</t>
  </si>
  <si>
    <t>1. Click product from list</t>
  </si>
  <si>
    <t>Product details displayed correctly</t>
  </si>
  <si>
    <t>Edit Product</t>
  </si>
  <si>
    <t>1. Edit product fields
2. Click Save</t>
  </si>
  <si>
    <t>Edit Product – duplicate SKU</t>
  </si>
  <si>
    <t>1. Change SKU to existing SKU</t>
  </si>
  <si>
    <t>Toggle Product status Active/Inactive</t>
  </si>
  <si>
    <t>Inactive Product behavior</t>
  </si>
  <si>
    <t>1. Set product inactive
2. Add Opportunity product</t>
  </si>
  <si>
    <t>Delete Product not in use</t>
  </si>
  <si>
    <t>1. Delete unused product</t>
  </si>
  <si>
    <t>Product deleted successfully</t>
  </si>
  <si>
    <t>Delete Product in use</t>
  </si>
  <si>
    <t>1. Attempt delete product used in Opportunity</t>
  </si>
  <si>
    <t>Products in use by opportunities are deleted</t>
  </si>
  <si>
    <t>Search Product by Name</t>
  </si>
  <si>
    <t>1. Enter product name keyword</t>
  </si>
  <si>
    <t>Matching products displayed</t>
  </si>
  <si>
    <t>Search Product by SKU</t>
  </si>
  <si>
    <t>1. Enter SKU keyword</t>
  </si>
  <si>
    <t>Correct product displayed</t>
  </si>
  <si>
    <t>Search – no results</t>
  </si>
  <si>
    <t>Filter by Category</t>
  </si>
  <si>
    <t>1. Apply Category filter</t>
  </si>
  <si>
    <t>Products filtered correctly</t>
  </si>
  <si>
    <t>Filter by Brand</t>
  </si>
  <si>
    <t>1. Apply Brand filter</t>
  </si>
  <si>
    <t>Full product list restored</t>
  </si>
  <si>
    <t>View persistence after refresh</t>
  </si>
  <si>
    <t>1. Change view
2. Refresh page</t>
  </si>
  <si>
    <t xml:space="preserve">Selected view persists </t>
  </si>
  <si>
    <t>1. Navigate to Products
2. Select 10 records per page
3. Verify displayed results
4. Select 25, 50, 100 sequentially</t>
  </si>
  <si>
    <t>Export Products</t>
  </si>
  <si>
    <t>1. Click Export</t>
  </si>
  <si>
    <t>Export file downloaded successfully</t>
  </si>
  <si>
    <t>Export with no product</t>
  </si>
  <si>
    <t>Empty file</t>
  </si>
  <si>
    <t>Import Products</t>
  </si>
  <si>
    <t>1. Click Import
2. Upload valid template</t>
  </si>
  <si>
    <t>Products imported successfully</t>
  </si>
  <si>
    <t>“Failed to Parse File” 
Error When Importing Products</t>
  </si>
  <si>
    <t>(PASSED) - 03/24/2026</t>
  </si>
  <si>
    <t>Import invalid file type</t>
  </si>
  <si>
    <t>1. Attempt to upload non-supported file</t>
  </si>
  <si>
    <t>Validation error shown or unsupported file
types not available for import</t>
  </si>
  <si>
    <t>Import missing required columns</t>
  </si>
  <si>
    <t>1. Upload template missing SKU or Name</t>
  </si>
  <si>
    <t>Import rejected with error</t>
  </si>
  <si>
    <t>Import duplicate SKU handling</t>
  </si>
  <si>
    <t>1. Import product with existing SKU</t>
  </si>
  <si>
    <t>Import negative price or stock</t>
  </si>
  <si>
    <t>1. Import invalid values</t>
  </si>
  <si>
    <t>Row rejected with clear error</t>
  </si>
  <si>
    <t>System allows import of products
with negative price or stocks</t>
  </si>
  <si>
    <t>Quotes page loads</t>
  </si>
  <si>
    <t>1. Navigate to Quotes module</t>
  </si>
  <si>
    <t>Quotes list page loads successfully</t>
  </si>
  <si>
    <t>Create Quote – minimal required</t>
  </si>
  <si>
    <t>1. Click Add Quote
2. Enter Name
3. Select Account
4. Select Status
5. Click Save</t>
  </si>
  <si>
    <t>Quote created and appears in list</t>
  </si>
  <si>
    <t>Name required validation</t>
  </si>
  <si>
    <t>Valid Until date validation</t>
  </si>
  <si>
    <t>1. Set Valid Until to past date</t>
  </si>
  <si>
    <t>Opportunity auto-populates Account</t>
  </si>
  <si>
    <t>1. Select Opportunity
2. Observe Account field</t>
  </si>
  <si>
    <t>Account auto-filled based on Opportunity</t>
  </si>
  <si>
    <t>Add product line</t>
  </si>
  <si>
    <t>1. Click Add under Product &amp; Services
2. Select Product
3. Enter Quantity</t>
  </si>
  <si>
    <t>Product line added successfully</t>
  </si>
  <si>
    <t>Unit Price auto-filled</t>
  </si>
  <si>
    <t>1. Select existing product</t>
  </si>
  <si>
    <t>Unit Price auto-populated from Product</t>
  </si>
  <si>
    <t>Quantity validation – zero</t>
  </si>
  <si>
    <t>1. Enter Quantity = 0</t>
  </si>
  <si>
    <t>Quantity validation – negative</t>
  </si>
  <si>
    <t>1. Enter Quantity = -1</t>
  </si>
  <si>
    <t>Discount Type – Percentage</t>
  </si>
  <si>
    <t>1. Select Discount Type = Percentage
2. Enter Discount Value</t>
  </si>
  <si>
    <t>Discount Amount calculated correctly</t>
  </si>
  <si>
    <t>Discount Type – Fixed Amount</t>
  </si>
  <si>
    <t>1. Select Discount Type = Fixed Amount
2. Enter Discount Value</t>
  </si>
  <si>
    <t>Discount percentage &gt;100</t>
  </si>
  <si>
    <t>1. Enter Discount Value &gt;100</t>
  </si>
  <si>
    <t>Negative discount value</t>
  </si>
  <si>
    <t>1. Enter Discount Value = -10</t>
  </si>
  <si>
    <t>Tax Amount non-editable</t>
  </si>
  <si>
    <t>1. Try editing Tax Amount manually</t>
  </si>
  <si>
    <t>Field is read-only</t>
  </si>
  <si>
    <t>Final Total calculation</t>
  </si>
  <si>
    <t>1. Enter Quantity
2. Apply Discount</t>
  </si>
  <si>
    <t>Final Total = (Qty × Unit Price) - Discount</t>
  </si>
  <si>
    <t>Final Total updates when quantity changes</t>
  </si>
  <si>
    <t>1. Change Quantity</t>
  </si>
  <si>
    <t>Final Total recalculates automatically</t>
  </si>
  <si>
    <t>Add multiple product lines</t>
  </si>
  <si>
    <t>1. Add two or more products</t>
  </si>
  <si>
    <t>Totals calculated correctly for all lines</t>
  </si>
  <si>
    <t>Remove product line</t>
  </si>
  <si>
    <t>1. Add product
2. Remove product</t>
  </si>
  <si>
    <t>Line removed and totals recalculated</t>
  </si>
  <si>
    <t>Enter Billing Address manually</t>
  </si>
  <si>
    <t>1. Enter Billing Address fields
2. Click Save</t>
  </si>
  <si>
    <t>Billing Address saved correctly</t>
  </si>
  <si>
    <t>1. Enter Billing Address fields
2. Click Copy Billing to Shipping</t>
  </si>
  <si>
    <t>Shipping Address auto-filled correctly</t>
  </si>
  <si>
    <t>Copy overwrites Shipping fields</t>
  </si>
  <si>
    <t>1. Enter Shipping Address
2. Click Copy</t>
  </si>
  <si>
    <t>Shipping fields overwritten</t>
  </si>
  <si>
    <t>Shipping remains editable after copy</t>
  </si>
  <si>
    <t>1. Use Copy
2. Edit Shipping Address</t>
  </si>
  <si>
    <t>Shipping fields editable</t>
  </si>
  <si>
    <t>Toggle Quote status</t>
  </si>
  <si>
    <t>1. Change status Draft → Sent</t>
  </si>
  <si>
    <t>Delete unused Quote</t>
  </si>
  <si>
    <t>1. Click Delete
2. Confirm</t>
  </si>
  <si>
    <t>Quote deleted successfully</t>
  </si>
  <si>
    <t>Delete Quote linked to Sales Order</t>
  </si>
  <si>
    <t>1. Attempt delete linked Quote</t>
  </si>
  <si>
    <t>System blocks delete</t>
  </si>
  <si>
    <t>Quotes Can be deleted even if in use by Sales Order, Invoice</t>
  </si>
  <si>
    <t>(PASSED) 03/19/2026</t>
  </si>
  <si>
    <t>View Quote details</t>
  </si>
  <si>
    <t>1. Click Quote from list</t>
  </si>
  <si>
    <t>Full details displayed correctly</t>
  </si>
  <si>
    <t>Change Quote status</t>
  </si>
  <si>
    <t>1. Navigate to Quotes module
2. Open an existing Delivery Order
3. Change Status
4. Save changes</t>
  </si>
  <si>
    <t>Status updates successfully according to selected value</t>
  </si>
  <si>
    <t>Edit Quote</t>
  </si>
  <si>
    <t>1. Edit fields
2. Save</t>
  </si>
  <si>
    <t>Copy Quote Link</t>
  </si>
  <si>
    <t>1. Open Quote
2. Click Copy Quote Link</t>
  </si>
  <si>
    <t>Link copied to clipboard</t>
  </si>
  <si>
    <t>Open copied link</t>
  </si>
  <si>
    <t>1. Paste link in new tab</t>
  </si>
  <si>
    <t>Correct Quote page loads</t>
  </si>
  <si>
    <t>Search Quote by Name</t>
  </si>
  <si>
    <t>1. Enter Name keyword</t>
  </si>
  <si>
    <t>Matching quotes displayed</t>
  </si>
  <si>
    <t>1. Apply Assigned filter</t>
  </si>
  <si>
    <t>1. Navigate to Quotes
2. Select 10 records per page
3. Verify displayed results
4. Select 25, 50, 100 sequentially</t>
  </si>
  <si>
    <t>Export Quotes</t>
  </si>
  <si>
    <t>Export with no results</t>
  </si>
  <si>
    <t>Sales Orders page loads</t>
  </si>
  <si>
    <t>1. Navigate to Sales Orders module</t>
  </si>
  <si>
    <t>Sales Orders list loads successfully</t>
  </si>
  <si>
    <t>Create Sales Order – minimal required</t>
  </si>
  <si>
    <t>1. Click Add Sales Order
2. Enter Name
3. Enter Order Date
4. Select Account
5. Click Save</t>
  </si>
  <si>
    <t>Sales Order created successfully</t>
  </si>
  <si>
    <t>Order Date required validation</t>
  </si>
  <si>
    <t>1. Leave Order Date empty
2. Click Save</t>
  </si>
  <si>
    <t>Delivery Date before Order Date</t>
  </si>
  <si>
    <t>1. Set Delivery Date earlier than Order Date
2. Click Save</t>
  </si>
  <si>
    <t>Validation error shown or consistent handling</t>
  </si>
  <si>
    <t>Select existing Quote auto-populates Sales Order</t>
  </si>
  <si>
    <t>1. Click Add Sales Order
2. Select existing Quote with product lines
3. Observe form fields</t>
  </si>
  <si>
    <t>Account, product lines, pricing, discount, and totals auto-populated</t>
  </si>
  <si>
    <t>Auto-populated product lines match Quote exactly</t>
  </si>
  <si>
    <t>1. Select Quote
2. Compare Quantity, Unit Price, Discount Type, Discount Value</t>
  </si>
  <si>
    <t>Values match Quote exactly</t>
  </si>
  <si>
    <t>Final Total matches Quote total</t>
  </si>
  <si>
    <t>1. Select Quote
2. Compare Final Total with Quote</t>
  </si>
  <si>
    <t>Totals are identical</t>
  </si>
  <si>
    <t>Changing Quote resets populated fields</t>
  </si>
  <si>
    <t>1. Select Quote A
2. Change to Quote B</t>
  </si>
  <si>
    <t>Product lines update correctly</t>
  </si>
  <si>
    <t>Account auto-filled from Quote</t>
  </si>
  <si>
    <t>1. Select Quote
2. Observe Account field</t>
  </si>
  <si>
    <t>Account matches Quote Account</t>
  </si>
  <si>
    <t>Billing &amp; Shipping Contacts auto-filled</t>
  </si>
  <si>
    <t>1. Select Quote
2. Observe contact fields</t>
  </si>
  <si>
    <t>Contacts match Quote data</t>
  </si>
  <si>
    <t>Unit Price auto-populated</t>
  </si>
  <si>
    <t>1. Attempt manual edit of Tax Amount</t>
  </si>
  <si>
    <t>Final Total recalculates on change</t>
  </si>
  <si>
    <t>1. Modify Quantity or Discount</t>
  </si>
  <si>
    <t>Final Total updates automatically</t>
  </si>
  <si>
    <t>Totals calculated correctly across all lines</t>
  </si>
  <si>
    <t>1. Add product
2. Remove line</t>
  </si>
  <si>
    <t>1. Fill Billing Address fields
2. Click Save</t>
  </si>
  <si>
    <t>1. Enter Billing Address
2. Click Copy Billing to Shipping</t>
  </si>
  <si>
    <t>Copy overwrites Shipping data</t>
  </si>
  <si>
    <t>Shipping remains editable</t>
  </si>
  <si>
    <t>1. Use Copy
2. Edit Shipping fields</t>
  </si>
  <si>
    <t>Toggle Sales Order status</t>
  </si>
  <si>
    <t>1. Change status Draft → Confirmed</t>
  </si>
  <si>
    <t>Edit Sales Order</t>
  </si>
  <si>
    <t>Delete Sales Order not linked</t>
  </si>
  <si>
    <t>Sales Order deleted successfully</t>
  </si>
  <si>
    <t>Delete Sales Order linked to other
record</t>
  </si>
  <si>
    <t>1. Attempt delete linked Sales Order</t>
  </si>
  <si>
    <t>Sales Order Can be deleted even if linked and used by Invoice, Delivery Orders, Return Orders, and Purchase Orders</t>
  </si>
  <si>
    <t>Search Sales Order by Name</t>
  </si>
  <si>
    <t>Matching records displayed</t>
  </si>
  <si>
    <t>Filter by Account</t>
  </si>
  <si>
    <t>1. Apply Account filter</t>
  </si>
  <si>
    <t>Filter by Assigned</t>
  </si>
  <si>
    <t>1. Navigate to Sales Orders
2. Select 10 records per page
3. Verify displayed results
4. Select 25, 50, 100 sequentially</t>
  </si>
  <si>
    <t>Export Sales Orders</t>
  </si>
  <si>
    <t>Export with no data</t>
  </si>
  <si>
    <t>Empty File</t>
  </si>
  <si>
    <t>Invoice page loads</t>
  </si>
  <si>
    <t>1. Navigate to Invoices module</t>
  </si>
  <si>
    <t>Invoice list loads successfully</t>
  </si>
  <si>
    <t>Create Invoice –
 minimal required</t>
  </si>
  <si>
    <t>1. Click Add Invoice
2. Enter Name
3. Enter Invoice Date
4. Enter Due Date
5. Select Account
6. Click Save</t>
  </si>
  <si>
    <t>Invoice created successfully</t>
  </si>
  <si>
    <t>Invoice Name required validation</t>
  </si>
  <si>
    <t>Invoice Date required validation</t>
  </si>
  <si>
    <t>1. Leave Invoice Date empty
2. Click Save</t>
  </si>
  <si>
    <t>Due Date required validation</t>
  </si>
  <si>
    <t>1. Leave Due Date empty
2. Click Save</t>
  </si>
  <si>
    <t>Due Date before Invoice Date</t>
  </si>
  <si>
    <t>1. Enter Invoice Date
2. Enter earlier Due Date
3. Save</t>
  </si>
  <si>
    <t>Validation error or consistent handling</t>
  </si>
  <si>
    <t>Select Sales Order auto-populates Invoice</t>
  </si>
  <si>
    <t>1. Click Add Invoice
2. Select existing Sales Order with products</t>
  </si>
  <si>
    <t>Product lines, Account, and totals auto-populated</t>
  </si>
  <si>
    <t>Product values match Sales Order</t>
  </si>
  <si>
    <t>1. Select Sales Order
2. Compare Quantity, Unit Price, Discount</t>
  </si>
  <si>
    <t>Values match exactly</t>
  </si>
  <si>
    <t>Select Quote auto-populates Invoice</t>
  </si>
  <si>
    <t>1. Select existing Quote with product</t>
  </si>
  <si>
    <t>Product lines and pricing copied correctly</t>
  </si>
  <si>
    <t>Select Opportunity behavior</t>
  </si>
  <si>
    <t>1. Select Opportunity with products</t>
  </si>
  <si>
    <t>Products populated or behavior consistent</t>
  </si>
  <si>
    <t>Changing source resets product lines</t>
  </si>
  <si>
    <t>1. Select Sales Order A
2. Change to Sales Order B</t>
  </si>
  <si>
    <t>Account auto-filled from selected source</t>
  </si>
  <si>
    <t>1. Select Sales Order/Quote</t>
  </si>
  <si>
    <t>Account auto-filled correctly</t>
  </si>
  <si>
    <t>Add product manually</t>
  </si>
  <si>
    <t>1. Select Product</t>
  </si>
  <si>
    <t>Discount Type – 
Percentage</t>
  </si>
  <si>
    <t>Discount applied correctly</t>
  </si>
  <si>
    <t>Discount Type – 
Fixed Amount</t>
  </si>
  <si>
    <t>1. Select Discount Type =
 Fixed Amount
2. Enter Discount Value</t>
  </si>
  <si>
    <t>Negative discount validation</t>
  </si>
  <si>
    <t>1. Enter Discount Value = -5</t>
  </si>
  <si>
    <t>Discount &gt;100% validation</t>
  </si>
  <si>
    <t>Invoice total calculation</t>
  </si>
  <si>
    <t>Invoice total calculated correctly</t>
  </si>
  <si>
    <t>Recalculation on change</t>
  </si>
  <si>
    <t>Total updates automatically</t>
  </si>
  <si>
    <t>Multiple product lines calculation</t>
  </si>
  <si>
    <t>1. Add multiple products</t>
  </si>
  <si>
    <t>Totals correct across all lines</t>
  </si>
  <si>
    <t>1. Fill Billing fields
2. Save</t>
  </si>
  <si>
    <t>Address saved correctly</t>
  </si>
  <si>
    <t>Invoice assigned correctly</t>
  </si>
  <si>
    <t>Notes field persistence</t>
  </si>
  <si>
    <t>1. Enter Notes
2. Save
3. Reopen</t>
  </si>
  <si>
    <t>Notes persist correctly</t>
  </si>
  <si>
    <t>Terms field persistence</t>
  </si>
  <si>
    <t>1. Enter Terms
2. Save
3. Reopen</t>
  </si>
  <si>
    <t>Terms persist correctly</t>
  </si>
  <si>
    <t>Delete Invoice</t>
  </si>
  <si>
    <t>Invoice deleted successfully</t>
  </si>
  <si>
    <t xml:space="preserve">Edit Invoice </t>
  </si>
  <si>
    <t>Change Invoice status</t>
  </si>
  <si>
    <t>1. Navigate to Invoices module
2. Open an existing Invoice
3. Change Status
4. Save changes</t>
  </si>
  <si>
    <t>Status updates successfully according to 
selected value</t>
  </si>
  <si>
    <t>Search Invoice by Name</t>
  </si>
  <si>
    <t>Matching invoices displayed</t>
  </si>
  <si>
    <t>1. Navigate to Invoices
2. Select 10 records per page
3. Verify displayed results
4. Select 25, 50, 100 sequentially</t>
  </si>
  <si>
    <t>Export Invoices</t>
  </si>
  <si>
    <t>1. Filter to zero records
2. Click Export</t>
  </si>
  <si>
    <t>Delivery Orders page 
loads</t>
  </si>
  <si>
    <t>1. Navigate to Delivery Orders module</t>
  </si>
  <si>
    <t>Delivery Orders list loads successfully</t>
  </si>
  <si>
    <t>Create Delivery Order – minimal required</t>
  </si>
  <si>
    <t>1. Click Add Delivery Order
2. Enter Name
3. Select Sales Order
4. Enter Delivery Date
5. Click Save</t>
  </si>
  <si>
    <t>Delivery Order created successfully</t>
  </si>
  <si>
    <t>Delivery Date required 
validation</t>
  </si>
  <si>
    <t>1. Leave Delivery Date empty
2. Click Save</t>
  </si>
  <si>
    <t>Expected Delivery Date 
before Delivery Date</t>
  </si>
  <si>
    <t>1. Enter Delivery Date
2. Enter earlier Expected Delivery Date
3. Click Save</t>
  </si>
  <si>
    <t>Selecting Sales Order 
auto-populates all 
dependent fields 
correctly</t>
  </si>
  <si>
    <t>1. Navigate to Delivery Orders module
2. Click Add Delivery Order
3. Select an existing Sales Order with 
products
4. Observe Account field
5. Observe Product &amp; Services section
7. Compare Product Name, Quantity
8. Verify totals or computed values</t>
  </si>
  <si>
    <t>Fields auto-filled with correct data</t>
  </si>
  <si>
    <t>Shipping Provider selection</t>
  </si>
  <si>
    <t>1. Select Shipping Provider
2. Save</t>
  </si>
  <si>
    <t>Provider saved correctly</t>
  </si>
  <si>
    <t>Tracking Number persistence</t>
  </si>
  <si>
    <t>1. Enter Tracking Number
2. Save
3. Reopen</t>
  </si>
  <si>
    <t>Tracking Number saved correctly</t>
  </si>
  <si>
    <t>Product Quantity 
validation – zero</t>
  </si>
  <si>
    <t>1. Enter Quantity = 0
2. Save</t>
  </si>
  <si>
    <t>Quantity validation – 
negative</t>
  </si>
  <si>
    <t>1. Enter Quantity = -1
2. Save</t>
  </si>
  <si>
    <t>Manual product addition 
without Sales Order</t>
  </si>
  <si>
    <t>1. Do not select Sales Order
2. Add Product manually
3. Save</t>
  </si>
  <si>
    <t>Line removed successfully</t>
  </si>
  <si>
    <t>Delivery Address entry</t>
  </si>
  <si>
    <t>1. Fill Delivery Address fields
2. Save</t>
  </si>
  <si>
    <t>Shipping Cost validation – negative</t>
  </si>
  <si>
    <t>1. Enter Shipping Cost = -10
2. Save</t>
  </si>
  <si>
    <t>Shipping Cost saved correctly</t>
  </si>
  <si>
    <t>1. Enter Shipping Cost
2. Save</t>
  </si>
  <si>
    <t>Shipping Cost persists correctly</t>
  </si>
  <si>
    <t>Delivery Notes 
persistence</t>
  </si>
  <si>
    <t>1. Enter Delivery Notes
2. Save
3. Reopen</t>
  </si>
  <si>
    <t>View Delivery Order 
details</t>
  </si>
  <si>
    <t>1. Navigate to Delivery Orders module
2. Click a Delivery Order from the list</t>
  </si>
  <si>
    <t>All Delivery Order details displayed 
correctly (Products, Address, Status, 
Tracking Number, Shipping Cost)</t>
  </si>
  <si>
    <t>Change Delivery Order 
status</t>
  </si>
  <si>
    <t>1. Navigate to Delivery Orders module
2. Open an existing Delivery Order
3. Change Status
4. Save changes</t>
  </si>
  <si>
    <t>Search Delivery Order</t>
  </si>
  <si>
    <t>1. Enter keyword in Search field</t>
  </si>
  <si>
    <t>Filter by Sales Order</t>
  </si>
  <si>
    <t>1. Apply Sales Order filter</t>
  </si>
  <si>
    <t>1. Navigate to Delivery Orders
2. Select 10 records per page
3. Verify displayed results
4. Select 25, 50, 100 sequentially</t>
  </si>
  <si>
    <t xml:space="preserve"> • User will be able to see his Profile Photo
 • User is able to change/update his Profile Photo
 • Maximum image file size should be 3mb or lower</t>
  </si>
  <si>
    <t>• User can be able to remove the Profile picture</t>
  </si>
  <si>
    <t xml:space="preserve"> • User will be able to see his First name
 • User cannot change/update his First name</t>
  </si>
  <si>
    <t xml:space="preserve"> • User will be able to see his Middle name
 • User cannot change/update his Middle name</t>
  </si>
  <si>
    <t xml:space="preserve"> • User will be able to see his Last name
 • User cannot change/update his Last name</t>
  </si>
  <si>
    <t xml:space="preserve"> • User will be able to see his email address 
 • User cannot change/update his email address </t>
  </si>
  <si>
    <t xml:space="preserve"> • User will be able to see his Mobile Number
 • User is able to change/update his Mobile Number</t>
  </si>
  <si>
    <t xml:space="preserve"> • User will be able to see his Home Address
 • User is able to change/update his Home Address</t>
  </si>
  <si>
    <t>Return Orders page loads</t>
  </si>
  <si>
    <t>1. Navigate to Return Orders module</t>
  </si>
  <si>
    <t>Return Orders list loads successfully</t>
  </si>
  <si>
    <t>Create Return Order – valid data (happy path)</t>
  </si>
  <si>
    <t>1. Click Add Return Order
2. Enter Name
3. Select Sales Order
4. Enter Return Reason
5. Enter Return Date
6. Add Product
7. Click Save</t>
  </si>
  <si>
    <t>Return Order created successfully</t>
  </si>
  <si>
    <t>Sales Order required validation</t>
  </si>
  <si>
    <t>1. Leave Sales Order empty
2. Click Save</t>
  </si>
  <si>
    <t>Selecting Sales Order auto-populates related fields</t>
  </si>
  <si>
    <t>1. Click Add Return Order
2. Select existing Sales Order with products
3. Verify Account field
4. Verify Product &amp; Services section</t>
  </si>
  <si>
    <t>Account and Contact match Sales Order; product lines available for selection</t>
  </si>
  <si>
    <t>Unit Price auto-populated correctly</t>
  </si>
  <si>
    <t>Discount calculated correctly</t>
  </si>
  <si>
    <t>Final Total calculated correctly</t>
  </si>
  <si>
    <t>Multiple product lines</t>
  </si>
  <si>
    <t>1. Add multiple products
2. Save</t>
  </si>
  <si>
    <t>Totals calculated correctly</t>
  </si>
  <si>
    <t>Shipping Provider saved correctly</t>
  </si>
  <si>
    <t>Provider saved successfully</t>
  </si>
  <si>
    <t>Reason Description persistence</t>
  </si>
  <si>
    <t>1. Enter Reason Description
2. Save
3. Reopen</t>
  </si>
  <si>
    <t>Description persists correctly</t>
  </si>
  <si>
    <t>Notes persistence</t>
  </si>
  <si>
    <t>Return Order assigned correctly</t>
  </si>
  <si>
    <t>View Return Order details</t>
  </si>
  <si>
    <t>1. Navigate to Return Orders module
2. Click a Return Order from the list</t>
  </si>
  <si>
    <t>All Return Order details displayed correctly (Products, Return Reason, Status, Tracking Number, Totals</t>
  </si>
  <si>
    <t>Edit Return Order</t>
  </si>
  <si>
    <t>Change Return Order status</t>
  </si>
  <si>
    <t>1. Navigate to Return Orders module
2. Open an existing Return Order
3. Change Status
4. Save changes</t>
  </si>
  <si>
    <t>Search Return Order</t>
  </si>
  <si>
    <t>Pagination (10,25,50,100)</t>
  </si>
  <si>
    <t>1. Select pagination options</t>
  </si>
  <si>
    <t>Messages display according to 
selected limit</t>
  </si>
  <si>
    <t>Receipt Orders page loads</t>
  </si>
  <si>
    <t>1. Navigate to Receipt Orders module</t>
  </si>
  <si>
    <t>Receipt Orders list loads successfully</t>
  </si>
  <si>
    <t>Create Receipt Order – valid data</t>
  </si>
  <si>
    <t>1. Click Add Receipt Order
2. Enter Name
3. Enter Receipt Date
4. Select Purchase Order or Return Order
5. Add Product
6. Save</t>
  </si>
  <si>
    <t>Receipt Order created successfully</t>
  </si>
  <si>
    <t>Receipt Date required validation</t>
  </si>
  <si>
    <t>1. Leave Receipt Date empty
2. Click Save</t>
  </si>
  <si>
    <t>Receipt Date before Expected Date</t>
  </si>
  <si>
    <t>1. Enter Expected Date
2. Enter earlier Receipt Date
3. Save</t>
  </si>
  <si>
    <t>System handles consistently (allowed or validated per rule)</t>
  </si>
  <si>
    <t>Selecting Purchase Order auto-populates related fields</t>
  </si>
  <si>
    <t>1. Click Add Receipt Order
2. Select existing Purchase Order
3. Verify Account
4. Verify Product lines</t>
  </si>
  <si>
    <t>Account and products match selected Purchase Order</t>
  </si>
  <si>
    <t>Selecting Return Order auto-populates 
related fields</t>
  </si>
  <si>
    <t>1. Select existing Return Order
2. Verify Account and Product lines</t>
  </si>
  <si>
    <t>Account and products match selected Return Order</t>
  </si>
  <si>
    <t>1. Select Percentage
2. Enter Discount Value</t>
  </si>
  <si>
    <t>1. Select Fixed
2. Enter Discount Value</t>
  </si>
  <si>
    <t>View Receipt Order details</t>
  </si>
  <si>
    <t>1. Navigate to Receipt Orders module
2. Click a Receipt Order from the list</t>
  </si>
  <si>
    <t>All Receipt Order details displayed correctly (Products, Status, Totals, Linked Orders)</t>
  </si>
  <si>
    <t>Edit Receipt Order</t>
  </si>
  <si>
    <t>1. Open existing Receipt Order
2. Change Status
3. Save changes</t>
  </si>
  <si>
    <t>Search Receipt Order</t>
  </si>
  <si>
    <t>Purchase Orders page loads</t>
  </si>
  <si>
    <t>1. Navigate to Purchase Orders module</t>
  </si>
  <si>
    <t>Purchase Orders list loads successfully</t>
  </si>
  <si>
    <t>Create Purchase Order – valid data</t>
  </si>
  <si>
    <t>1. Click Add Purchase Order
2. Enter Name
3. Enter Order Date
4. Select Account
5. Add Product
6. Save</t>
  </si>
  <si>
    <t>Purchase Order created successfully</t>
  </si>
  <si>
    <t>Expected Delivery Date before Order Date</t>
  </si>
  <si>
    <t>1. Enter Order Date
2. Enter earlier Expected Delivery Date
3. Save</t>
  </si>
  <si>
    <t>1. Click Add Purchase Order
2. Select Sales Order
3. Verify Account and product data</t>
  </si>
  <si>
    <t>Account and products, and shipping provider match Sales Order</t>
  </si>
  <si>
    <t>Changing Sales Order resets product data</t>
  </si>
  <si>
    <t>Product data updates accordingl</t>
  </si>
  <si>
    <t>Discount Amount non-editable</t>
  </si>
  <si>
    <t>1. Attempt to manually edit Discount Amount</t>
  </si>
  <si>
    <t>Tax Amount calculation</t>
  </si>
  <si>
    <t>1. Add product with tax
2. Verify Tax Amount</t>
  </si>
  <si>
    <t>Tax calculated correctly based on configured rate</t>
  </si>
  <si>
    <t>Totals calculated correctly across lines</t>
  </si>
  <si>
    <t>View Purchase Order details</t>
  </si>
  <si>
    <t>1. Navigate to Purchase Orders module
2. Click a Purchase Order from the list</t>
  </si>
  <si>
    <t>All Purchase Order details displayed correctly (Products, Totals, Status, Linked Sales Order)</t>
  </si>
  <si>
    <t>Edit Purchase Order</t>
  </si>
  <si>
    <t>1. Open existing Purchase Order
2. Change Status
3. Save changes</t>
  </si>
  <si>
    <t>Search Purchase Order</t>
  </si>
  <si>
    <t>Document Management - Folders</t>
  </si>
  <si>
    <t>Folders page loads</t>
  </si>
  <si>
    <t>1. Navigate to Document Management 
→ Folders</t>
  </si>
  <si>
    <t>Folders list loads successfully</t>
  </si>
  <si>
    <t>Create Folder</t>
  </si>
  <si>
    <t>1. Click Add Folder
2. Enter Folder Name
3. Select Parent Folder (optional)
4. Enter Description (optional)
5. Set Status
6. Save</t>
  </si>
  <si>
    <t>Folder created and appears in list</t>
  </si>
  <si>
    <t>Folder Name required validation</t>
  </si>
  <si>
    <t>1. Click Add Folder
2. Leave Folder Name empty
3. Save</t>
  </si>
  <si>
    <t>Create nested folder under Parent Folder</t>
  </si>
  <si>
    <t>1. Create folder
2. Select Parent Folder ≠ Root
3. Save</t>
  </si>
  <si>
    <t>Folder created under selected parent</t>
  </si>
  <si>
    <t>Matching folders displayed</t>
  </si>
  <si>
    <t>1. Apply Parent Folder filter</t>
  </si>
  <si>
    <t>Only folders under parent shown</t>
  </si>
  <si>
    <t>View Folder details</t>
  </si>
  <si>
    <t>1. Open an existing Folder from list</t>
  </si>
  <si>
    <t>Folder details displayed correctly</t>
  </si>
  <si>
    <t>Change Folder status</t>
  </si>
  <si>
    <t>Delete Folder (empty)</t>
  </si>
  <si>
    <t>Folder deleted successfully</t>
  </si>
  <si>
    <t>Delete Folder with contents</t>
  </si>
  <si>
    <t xml:space="preserve">System allows deletion of Folder linked to a
Document Record
</t>
  </si>
  <si>
    <t>(PASSED) 03/24/2026</t>
  </si>
  <si>
    <t>Document Management - Types</t>
  </si>
  <si>
    <t>Types page loads</t>
  </si>
  <si>
    <t>1. Navigate to Document Management → Types</t>
  </si>
  <si>
    <t>Types list loads successfully</t>
  </si>
  <si>
    <t>Create Document Type</t>
  </si>
  <si>
    <t>Type created and appears in list</t>
  </si>
  <si>
    <t>Type Name required validation</t>
  </si>
  <si>
    <t>1. Click Add Type
2. Leave Type Name empty
3. Save</t>
  </si>
  <si>
    <t>Search Type</t>
  </si>
  <si>
    <t>Matching types displayed</t>
  </si>
  <si>
    <t>1. Open an existing Type from list</t>
  </si>
  <si>
    <t>Type details displayed correctly</t>
  </si>
  <si>
    <t>Edit Type</t>
  </si>
  <si>
    <t>Change Type status</t>
  </si>
  <si>
    <t>1. Open existing Type
2. Change Status
3. Save</t>
  </si>
  <si>
    <t>Delete Type</t>
  </si>
  <si>
    <t>Type deleted successfully</t>
  </si>
  <si>
    <t>Delete Type in use</t>
  </si>
  <si>
    <t>1. Attempt delete Type used by documents</t>
  </si>
  <si>
    <t xml:space="preserve">System allows deletion of Type linked to a
Document Record
</t>
  </si>
  <si>
    <t>Filter document types by Status</t>
  </si>
  <si>
    <t>1. Navigate to Document Management → Types
2. Select Status (e.g., Active/Inactive)
3. Apply filter</t>
  </si>
  <si>
    <t>Only document types matching the selected 
status are displayed</t>
  </si>
  <si>
    <t>Document Management -Documents</t>
  </si>
  <si>
    <t>Documents page loads</t>
  </si>
  <si>
    <t>1. Navigate to Document Management → Documents</t>
  </si>
  <si>
    <t>Documents list loads successfully</t>
  </si>
  <si>
    <t>1. Click Add Document
2. Enter Document Name
3. Select Account/Folder/Type (optional per design)
4. Upload Attachment (if required by process)
5. Set Status
6. Save</t>
  </si>
  <si>
    <t>Document created and appears in list</t>
  </si>
  <si>
    <t>Document Name required validation</t>
  </si>
  <si>
    <t>1. Click Add Document
2. Leave Document Name empty
3. Save</t>
  </si>
  <si>
    <t>Upload Attachment</t>
  </si>
  <si>
    <t>1. Add Document
2. Upload a valid file
3. Save</t>
  </si>
  <si>
    <t>Attachment uploads successfully and is linked to document</t>
  </si>
  <si>
    <t>Invalid attachment</t>
  </si>
  <si>
    <t>1. Upload unsupported file type</t>
  </si>
  <si>
    <t>Expiration Date before Publish Date</t>
  </si>
  <si>
    <t>1. Set Publish Date
2. Set Expiration Date earlier
3. Save</t>
  </si>
  <si>
    <t>System accepts documents with expiration
date earlier than publish date</t>
  </si>
  <si>
    <t>Assign To saved correctly</t>
  </si>
  <si>
    <t>1. Select Assign To
2. Save</t>
  </si>
  <si>
    <t>Assignment persists</t>
  </si>
  <si>
    <t>View Document details</t>
  </si>
  <si>
    <t>1. Open an existing Document from list</t>
  </si>
  <si>
    <t>Document details displayed correctly</t>
  </si>
  <si>
    <t>Edit Document</t>
  </si>
  <si>
    <t>Change Document status</t>
  </si>
  <si>
    <t>1. Open existing Document
2. Change Status
3. Save</t>
  </si>
  <si>
    <t>Delete Document</t>
  </si>
  <si>
    <t>1. Delete document
2. Confirm</t>
  </si>
  <si>
    <t>Document deleted successfully</t>
  </si>
  <si>
    <t>Search Document</t>
  </si>
  <si>
    <t>Matching documents displayed</t>
  </si>
  <si>
    <t>Filter by Folder</t>
  </si>
  <si>
    <t>1. Apply Folder filter</t>
  </si>
  <si>
    <t>Change View (List/Grid)</t>
  </si>
  <si>
    <t>1. Switch view from List to Grid (or vice versa)</t>
  </si>
  <si>
    <t>View changes successfully</t>
  </si>
  <si>
    <t>Campaign Management - Campaign Types</t>
  </si>
  <si>
    <t>Campaign Type page loads</t>
  </si>
  <si>
    <t>1. Navigate to Campaign Management 
→ Campaign Type</t>
  </si>
  <si>
    <t>Campaign Type list loads successfully</t>
  </si>
  <si>
    <t>Create Campaign Type</t>
  </si>
  <si>
    <t>1. Click Add Campaign Type
2. Enter Name
3. (Optional) Enter Description and Color
4. Set Status
5. Save</t>
  </si>
  <si>
    <t>Campaign Type created and appears in list</t>
  </si>
  <si>
    <t>Search Campaign Type</t>
  </si>
  <si>
    <t>Filter Campaign Type by Status</t>
  </si>
  <si>
    <t>1. Open an existing Campaign Type from list</t>
  </si>
  <si>
    <t>Edit Campaign Type</t>
  </si>
  <si>
    <t>Change Campaign Type status</t>
  </si>
  <si>
    <t>1. Open existing Campaign Type
2. Change Status
3. Save changes</t>
  </si>
  <si>
    <t>Delete Campaign Type (unused)</t>
  </si>
  <si>
    <t>1. Delete Campaign Type not used in Campaigns</t>
  </si>
  <si>
    <t>Deleted used campaign type</t>
  </si>
  <si>
    <t>1. Attempt delete type used by Campaigns</t>
  </si>
  <si>
    <t>System allows deletion
Deleting Campaign Type Also deletes 
linked Campaign record</t>
  </si>
  <si>
    <t>(PASSED) - 03/19/26</t>
  </si>
  <si>
    <t>Campaign Management - Target Lists</t>
  </si>
  <si>
    <t>Target List page loads</t>
  </si>
  <si>
    <t>1. Navigate to Campaign Management 
→ Target List</t>
  </si>
  <si>
    <t>Target List page loads successfully</t>
  </si>
  <si>
    <t>Create Target List</t>
  </si>
  <si>
    <t>1. Click Add Target List
2. Enter Name
3. (Optional) Enter Description
4. Set Status
5. Save</t>
  </si>
  <si>
    <t>Target List created successfully</t>
  </si>
  <si>
    <t>1. Click Add Target List
2. Leave Name empty
3. Save</t>
  </si>
  <si>
    <t>Filter Target List by Status</t>
  </si>
  <si>
    <t>View Target List details</t>
  </si>
  <si>
    <t>1. Open an existing Target List from list</t>
  </si>
  <si>
    <t>Edit Target List</t>
  </si>
  <si>
    <t>Change Target List status</t>
  </si>
  <si>
    <t>1. Open existing Target List
2. Change Status
3. Save changes</t>
  </si>
  <si>
    <t>Delete Target List (unused)</t>
  </si>
  <si>
    <t>1. Delete Target List not linked to Campaigns</t>
  </si>
  <si>
    <t>Deleted successfully</t>
  </si>
  <si>
    <t>Delete Target List in use</t>
  </si>
  <si>
    <t>1. Attempt delete list linked to Campaigns</t>
  </si>
  <si>
    <t>Deleting Target list is allowed even if 
linked to campaign</t>
  </si>
  <si>
    <t>Campaign Management - Campaigns</t>
  </si>
  <si>
    <t>Campaigns page loads</t>
  </si>
  <si>
    <t>1. Navigate to Campaign Management → Campaigns</t>
  </si>
  <si>
    <t>Campaign list loads successfully</t>
  </si>
  <si>
    <t>Create Campaign</t>
  </si>
  <si>
    <t>1. Click Add Campaign
2. Enter Campaign Name
3. Enter Start Date
4. Enter End Date
5. Select Campaign Type
6. (Optional) Fill remaining fields
7. Save</t>
  </si>
  <si>
    <t>Campaign created successfully</t>
  </si>
  <si>
    <t>Campaign Name required validation</t>
  </si>
  <si>
    <t>1. Leave Campaign Name empty
2. Save</t>
  </si>
  <si>
    <t>Start Date required validation</t>
  </si>
  <si>
    <t>1. Leave Start Date empty
2. Save</t>
  </si>
  <si>
    <t>End Date required validation</t>
  </si>
  <si>
    <t>1. Leave End Date empty
2. Save</t>
  </si>
  <si>
    <t>End Date earlier than Start Date</t>
  </si>
  <si>
    <t>1. Enter Start Date
2. Enter earlier End Date
3. Save</t>
  </si>
  <si>
    <t>Campaign Type required validation</t>
  </si>
  <si>
    <t>1. Leave Campaign Type empty
2. Save</t>
  </si>
  <si>
    <t>Budget validation – negative</t>
  </si>
  <si>
    <t>1. Enter Budget = -100
2. Save</t>
  </si>
  <si>
    <t>Actual Cost validation – negative</t>
  </si>
  <si>
    <t>1. Enter Actual Cost = -100
2. Save</t>
  </si>
  <si>
    <t>View Campaign details</t>
  </si>
  <si>
    <t>1. Navigate to Campaigns
2. Click a Campaign from the list</t>
  </si>
  <si>
    <t>All Campaign details displayed correctly</t>
  </si>
  <si>
    <t>Edit Campaign</t>
  </si>
  <si>
    <t>Change Campaign status</t>
  </si>
  <si>
    <t>1. Open existing Campaign
2. Change Status
3. Save changes</t>
  </si>
  <si>
    <t>Delete Campaign</t>
  </si>
  <si>
    <t>Campaign deleted successfully</t>
  </si>
  <si>
    <t>Search Campaign</t>
  </si>
  <si>
    <t>Matching campaigns displayed</t>
  </si>
  <si>
    <t>Filter by Campaign Type</t>
  </si>
  <si>
    <t>1. Apply Campaign Type filter</t>
  </si>
  <si>
    <t>Filter by Target List</t>
  </si>
  <si>
    <t>1. Apply Target List filter</t>
  </si>
  <si>
    <t>Project Management - Task Statuses</t>
  </si>
  <si>
    <t>Task Status page loads</t>
  </si>
  <si>
    <t>1. Navigate to Project Management 
→ Task Statuses</t>
  </si>
  <si>
    <t>1. Navigate to Campaign Management → Target List</t>
  </si>
  <si>
    <t>Task Status list loads successfully</t>
  </si>
  <si>
    <t>1. Click Add Task Status
2. Enter Status Name
3. Select Color
4. Set Status
5. Save</t>
  </si>
  <si>
    <t>Task Status created successfully</t>
  </si>
  <si>
    <t>Status Name required validation</t>
  </si>
  <si>
    <t>1. Leave Color empty
2. Save</t>
  </si>
  <si>
    <t>Search Task Status</t>
  </si>
  <si>
    <t>Matching results displayed</t>
  </si>
  <si>
    <t>View Task Status details</t>
  </si>
  <si>
    <t>1. Open existing Task Status</t>
  </si>
  <si>
    <t>Edit Task Status</t>
  </si>
  <si>
    <t>Change Task Status status</t>
  </si>
  <si>
    <t>1. Open existing Task Status
2. Change Status
3. Save</t>
  </si>
  <si>
    <t>Delete Task Status</t>
  </si>
  <si>
    <t>Delete Task Status in use</t>
  </si>
  <si>
    <t>1. Attempt delete status linked to tasks</t>
  </si>
  <si>
    <t>System blocks deletion</t>
  </si>
  <si>
    <t>Project Management - Project Tasks</t>
  </si>
  <si>
    <t>Project Tasks page loads</t>
  </si>
  <si>
    <t>1. Navigate to Project Management → Project Tasks</t>
  </si>
  <si>
    <t>Task list loads successfully</t>
  </si>
  <si>
    <t>Create Task</t>
  </si>
  <si>
    <t>1. Click Add Task
2. Enter Task Title
3. Select Project
4. Fill optional fields
5. Save</t>
  </si>
  <si>
    <t>Task created successfully</t>
  </si>
  <si>
    <t>1. Leave Task Title empty
2. Save</t>
  </si>
  <si>
    <t>Project required validation</t>
  </si>
  <si>
    <t>1. Leave Project empty
2. Save</t>
  </si>
  <si>
    <t>Due Date before Start Date</t>
  </si>
  <si>
    <t>1. Enter Start Date
2. Enter earlier Due Date
3. Save</t>
  </si>
  <si>
    <t>Priority selection</t>
  </si>
  <si>
    <t>1. Select each Priority value</t>
  </si>
  <si>
    <t>Value saved correctly</t>
  </si>
  <si>
    <t>Progress validation (&gt;100%)</t>
  </si>
  <si>
    <t>1. Enter Progress = 120
2. Save</t>
  </si>
  <si>
    <t>Estimated Hours negative validation</t>
  </si>
  <si>
    <t>1. Enter negative value
2. Save</t>
  </si>
  <si>
    <t>Actual Hours negative validation</t>
  </si>
  <si>
    <t>View Task details</t>
  </si>
  <si>
    <t>1. Open existing Task</t>
  </si>
  <si>
    <t>Edit Task</t>
  </si>
  <si>
    <t>1. Open Task
2. Change Status
3. Save</t>
  </si>
  <si>
    <t>Status updates successfully</t>
  </si>
  <si>
    <t>Search Task</t>
  </si>
  <si>
    <t>Matching tasks displayed</t>
  </si>
  <si>
    <t>Filter by Priority</t>
  </si>
  <si>
    <t>1. Apply Priority filter</t>
  </si>
  <si>
    <t>1. Apply Project filter</t>
  </si>
  <si>
    <t>Export projects with active filter</t>
  </si>
  <si>
    <t>Exported file contains only filtered project 
records</t>
  </si>
  <si>
    <t>Exports all records even if filtered</t>
  </si>
  <si>
    <t>Export projects with no filter</t>
  </si>
  <si>
    <t>1. Click Export without applying filter</t>
  </si>
  <si>
    <t>Exported file contains all visible project 
records</t>
  </si>
  <si>
    <t>Project Management - Projects</t>
  </si>
  <si>
    <t>Projects page loads</t>
  </si>
  <si>
    <t>1. Navigate to Project Management → Projects</t>
  </si>
  <si>
    <t>Projects list loads successfully</t>
  </si>
  <si>
    <t>Create Project</t>
  </si>
  <si>
    <t>1. Click Add Project
2. Enter Project Name
3. Select Account
4. Fill optional fields
5. Save</t>
  </si>
  <si>
    <t>Project created successfully</t>
  </si>
  <si>
    <t>Project Name required validation</t>
  </si>
  <si>
    <t>1. Leave Project Name empty
2. Save</t>
  </si>
  <si>
    <t>1. Leave Account empty
2. Save</t>
  </si>
  <si>
    <t>End Date before Start Date</t>
  </si>
  <si>
    <t>Budget negative validation</t>
  </si>
  <si>
    <t>View Project details</t>
  </si>
  <si>
    <t>1. Open existing Project</t>
  </si>
  <si>
    <t>Project details displayed correctly</t>
  </si>
  <si>
    <t>Edit Project</t>
  </si>
  <si>
    <t>Change Project status</t>
  </si>
  <si>
    <t>1. Open Project
2. Change Status
3. Save</t>
  </si>
  <si>
    <t>Project status is updated successfully and reflected in the project list and details page.</t>
  </si>
  <si>
    <t>1. Delete project
2. Confirm</t>
  </si>
  <si>
    <t>Project deleted successfully (if no dependencies)</t>
  </si>
  <si>
    <t>Search Project</t>
  </si>
  <si>
    <t>Matching projects displayed</t>
  </si>
  <si>
    <t>View Project in Gantt View</t>
  </si>
  <si>
    <t>1. Navigate to Project Management → Projects 
2. Open an existing project 3. Switch to Gantt View</t>
  </si>
  <si>
    <t>Project tasks are displayed in Gantt timeline 
view successfully</t>
  </si>
  <si>
    <t>Gantt View loads correct task dates</t>
  </si>
  <si>
    <t>1. Open project in Gantt View 
2. Check task start and end dates</t>
  </si>
  <si>
    <t>Tasks are displayed in correct timeline 
positions based on saved dates</t>
  </si>
  <si>
    <t>Empty project in Gantt View</t>
  </si>
  <si>
    <t>1. Open a project with no tasks 
2. Switch to Gantt View</t>
  </si>
  <si>
    <t>Empty state is displayed correctly</t>
  </si>
  <si>
    <t>Add Task in Gantt View</t>
  </si>
  <si>
    <t>1. Open project in Gantt View 
2. Click Add Task 
3. Enter required fields 
4. Save</t>
  </si>
  <si>
    <t>Task is added successfully and shown in 
Gantt View</t>
  </si>
  <si>
    <t>Add Task validation in Gantt View</t>
  </si>
  <si>
    <t>1. Click Add Task 
2. Leave required fields empty 
3. Save</t>
  </si>
  <si>
    <t>Validation errors are displayed for required 
fields</t>
  </si>
  <si>
    <t>Edit Task in Gantt View</t>
  </si>
  <si>
    <t>1. Open existing task in Gantt View 
2. Edit task details 
3. Save</t>
  </si>
  <si>
    <t>Task changes are saved successfully</t>
  </si>
  <si>
    <t>View Project in Kanban View</t>
  </si>
  <si>
    <t>1. Open an existing project 
2. Switch to Kanban View</t>
  </si>
  <si>
    <t>Project tasks are displayed in Kanban 
columns successfully</t>
  </si>
  <si>
    <t>Kanban View displays tasks by status</t>
  </si>
  <si>
    <t>1. Open project in Kanban View 
2. Review task columns</t>
  </si>
  <si>
    <t>Tasks are grouped under the correct status 
columns</t>
  </si>
  <si>
    <t>Empty project in Kanban View</t>
  </si>
  <si>
    <t>1. Open a project with no tasks 
2. Switch to Kanban View</t>
  </si>
  <si>
    <t>Edit Task in Kanban View</t>
  </si>
  <si>
    <t>1. Open an existing task in Kanban View 
2. Edit task fields 
3. Save</t>
  </si>
  <si>
    <t>Updated task details are saved and 
reflected in Kanban View</t>
  </si>
  <si>
    <t>Edit Task status in Kanban View</t>
  </si>
  <si>
    <t>1. Open task in Kanban View 
2. Change task status 
3. Save</t>
  </si>
  <si>
    <t>Task moves to the correct status column 
after update</t>
  </si>
  <si>
    <t>Click task to view details</t>
  </si>
  <si>
    <t>1. Open project in Kanban View 
2. Click a task card</t>
  </si>
  <si>
    <t>Task details page or modal opens and 
displays correct task information</t>
  </si>
  <si>
    <t>Task details show complete information</t>
  </si>
  <si>
    <t>1. Click a task card 
2. Review displayed details</t>
  </si>
  <si>
    <t>Task name, status, assignee, dates, 
priority, and description display correctly</t>
  </si>
  <si>
    <t>Search project by keyword</t>
  </si>
  <si>
    <t>1. Navigate to Projects page 
2. Enter keyword in Search</t>
  </si>
  <si>
    <t>Matching project records are displayed</t>
  </si>
  <si>
    <t>Search returns no results</t>
  </si>
  <si>
    <t>1. Enter invalid/non-existing keyword in Search</t>
  </si>
  <si>
    <t>No results found message is displayed 
correctly</t>
  </si>
  <si>
    <t>Filter projects by Status</t>
  </si>
  <si>
    <t>Only projects matching selected status 
are displayed</t>
  </si>
  <si>
    <t>Filter projects by Priority</t>
  </si>
  <si>
    <t>Only projects matching selected priority 
are displayed</t>
  </si>
  <si>
    <t>Apply multiple filters</t>
  </si>
  <si>
    <t>1. Apply Status and Priority filters together</t>
  </si>
  <si>
    <t>Projects matching all selected filters are 
displayed</t>
  </si>
  <si>
    <t>Clear applied filters</t>
  </si>
  <si>
    <t>1. Apply filters 2. Clear/reset filters</t>
  </si>
  <si>
    <t>Project list returns to default unfiltered state</t>
  </si>
  <si>
    <t>Calendar page loads</t>
  </si>
  <si>
    <t>1. Navigate to Calendar module</t>
  </si>
  <si>
    <t>Calendar loads successfully</t>
  </si>
  <si>
    <t>Switch to Day View</t>
  </si>
  <si>
    <t>1. Click day view</t>
  </si>
  <si>
    <t>Calendar switches to days layout</t>
  </si>
  <si>
    <t>Navigate to Previous Day</t>
  </si>
  <si>
    <t>1. Click "&lt;" button</t>
  </si>
  <si>
    <t>Calendar moves to previous day</t>
  </si>
  <si>
    <t>Navigate to Next Day</t>
  </si>
  <si>
    <t>1. Click "&gt;" button</t>
  </si>
  <si>
    <t>Calendar moves to next day</t>
  </si>
  <si>
    <t>Today button</t>
  </si>
  <si>
    <t>1. Navigate away from today
2. Click "Today"</t>
  </si>
  <si>
    <t>Calendar returns to current date</t>
  </si>
  <si>
    <t>Switch to Month View</t>
  </si>
  <si>
    <t>1. Click Month view</t>
  </si>
  <si>
    <t>Calendar switches to Month layout</t>
  </si>
  <si>
    <t>Switch to Week View</t>
  </si>
  <si>
    <t>1. Click Week view</t>
  </si>
  <si>
    <t>Events reflect correctly on navigation</t>
  </si>
  <si>
    <t>1. Navigate between dates
2. Verify events appear on correct dates</t>
  </si>
  <si>
    <t>Meetings/Calls appear on correct date/time</t>
  </si>
  <si>
    <t>Cases page loads</t>
  </si>
  <si>
    <t>1. Navigate to Cases module</t>
  </si>
  <si>
    <t>Cases list loads successfully</t>
  </si>
  <si>
    <t>Create Case</t>
  </si>
  <si>
    <t>1. Click Add Case
2. Enter Subject
3. Select Account
4. Select Priority
5. Select Case Type
6. Save</t>
  </si>
  <si>
    <t>Case created successfully</t>
  </si>
  <si>
    <t>Subject required validation</t>
  </si>
  <si>
    <t>1. Leave Subject empty
2. Save</t>
  </si>
  <si>
    <t>Priority required validation</t>
  </si>
  <si>
    <t>Case Type required validation</t>
  </si>
  <si>
    <t>1. Leave Case Type empty
2. Save</t>
  </si>
  <si>
    <t>View Case details</t>
  </si>
  <si>
    <t>1. Open existing Case</t>
  </si>
  <si>
    <t>Case details displayed correctly</t>
  </si>
  <si>
    <t>Edit Case</t>
  </si>
  <si>
    <t>Change Case status</t>
  </si>
  <si>
    <t>1. Open Case
2. Change Status
3. Save</t>
  </si>
  <si>
    <t>Delete Case</t>
  </si>
  <si>
    <t>1. Delete Case
2. Confirm</t>
  </si>
  <si>
    <t>Case deleted successfully</t>
  </si>
  <si>
    <t>Search Case</t>
  </si>
  <si>
    <t>1. Apply filter</t>
  </si>
  <si>
    <t>Meetings page loads</t>
  </si>
  <si>
    <t>1. Navigate to Meetings module</t>
  </si>
  <si>
    <t>Meetings list loads successfully</t>
  </si>
  <si>
    <t>Create Meeting</t>
  </si>
  <si>
    <t>1. Click Add Meeting
2. Fill required fields
3. Save</t>
  </si>
  <si>
    <t>Meeting created successfully</t>
  </si>
  <si>
    <t>Required field validations</t>
  </si>
  <si>
    <t>1. Leave required fields empty
2. Save</t>
  </si>
  <si>
    <t>Validation errors shown</t>
  </si>
  <si>
    <t>End Time before 
Start Time</t>
  </si>
  <si>
    <t>1. Enter invalid time range
2. Save</t>
  </si>
  <si>
    <t>Add Attendees</t>
  </si>
  <si>
    <t>1. Add attendee (User/Contact/Lead)2. Save</t>
  </si>
  <si>
    <t>Attendee added successfully</t>
  </si>
  <si>
    <t>Remove Attendee</t>
  </si>
  <si>
    <t>1. Click Remove
2. Save</t>
  </si>
  <si>
    <t>Attendee removed successfully</t>
  </si>
  <si>
    <t>Meeting appears 
on Calendar</t>
  </si>
  <si>
    <t>1. Create Meeting
2. Navigate to Calendar</t>
  </si>
  <si>
    <t>Meeting appears on correct date/time</t>
  </si>
  <si>
    <t>Edit Meeting updates 
Calendar</t>
  </si>
  <si>
    <t>1. Edit date/time
2. Save</t>
  </si>
  <si>
    <t>Calendar reflects updated schedule</t>
  </si>
  <si>
    <t>View Meeting details</t>
  </si>
  <si>
    <t>1. Open Meeting</t>
  </si>
  <si>
    <t>Edit Meeting</t>
  </si>
  <si>
    <t>1. Edit fields2. Save</t>
  </si>
  <si>
    <t>Change Meeting status</t>
  </si>
  <si>
    <t>1. Change Status2. Save</t>
  </si>
  <si>
    <t>Delete Meeting</t>
  </si>
  <si>
    <t>1. Delete Meeting</t>
  </si>
  <si>
    <t>Meeting removed from list &amp; calendar</t>
  </si>
  <si>
    <t>Search Meeting</t>
  </si>
  <si>
    <t>Matching meetings displayed</t>
  </si>
  <si>
    <t>1. Apply Filter</t>
  </si>
  <si>
    <t>Calls page loads</t>
  </si>
  <si>
    <t>1. Navigate to Calls module</t>
  </si>
  <si>
    <t>Calls list loads successfully</t>
  </si>
  <si>
    <t>Create Calls</t>
  </si>
  <si>
    <t>1. Click Add Call
2. Fill required fields
3. Save</t>
  </si>
  <si>
    <t>Call created successfully</t>
  </si>
  <si>
    <t>Required field 
validation</t>
  </si>
  <si>
    <t>Add / Remove 
Attendees</t>
  </si>
  <si>
    <t>1. Add attendee
2. Remove attendee</t>
  </si>
  <si>
    <t>Attendee updates correctly</t>
  </si>
  <si>
    <t>Call appears on 
Calendar</t>
  </si>
  <si>
    <t>1. Create Call
2. Navigate to Calendar</t>
  </si>
  <si>
    <t>Call appears on correct date/time</t>
  </si>
  <si>
    <t>Edit Call updates 
Calendar</t>
  </si>
  <si>
    <t>Calendar updates correctly</t>
  </si>
  <si>
    <t>View Call details</t>
  </si>
  <si>
    <t>1. Open Call</t>
  </si>
  <si>
    <t>Edit Call</t>
  </si>
  <si>
    <t>Change Call status</t>
  </si>
  <si>
    <t>1. Change Status
2. Save</t>
  </si>
  <si>
    <t>Delete Call</t>
  </si>
  <si>
    <t>1. Delete Call</t>
  </si>
  <si>
    <t>Call removed from list &amp; calendar</t>
  </si>
  <si>
    <t>Search Calls</t>
  </si>
  <si>
    <t>Matching calls displayed</t>
  </si>
  <si>
    <t>Reports - Lead Reports</t>
  </si>
  <si>
    <t>Lead Reports page 
loads</t>
  </si>
  <si>
    <t>1. Navigate to Reports 
→ Lead Reports</t>
  </si>
  <si>
    <t>Lead report loads with statistics and 
graphs</t>
  </si>
  <si>
    <t>Lead statistics 
accuracy</t>
  </si>
  <si>
    <t>1. Compare displayed total 
with actual Lead count in module</t>
  </si>
  <si>
    <t>Report count matches actual system 
data</t>
  </si>
  <si>
    <t>Lead graph renders 
correctly</t>
  </si>
  <si>
    <t>1. View chart</t>
  </si>
  <si>
    <t>Graph loads without distortion or 
missing data</t>
  </si>
  <si>
    <t>Apply From/To Date 
filter</t>
  </si>
  <si>
    <t>1. Enter From Date
2. Enter To Date
3. Apply filter</t>
  </si>
  <si>
    <t>Report updates according to selected 
date range</t>
  </si>
  <si>
    <t>From Date greater 
than To Date</t>
  </si>
  <si>
    <t>1. Enter invalid date range
2. Apply filter</t>
  </si>
  <si>
    <t>Validation error or no data returned</t>
  </si>
  <si>
    <t>Empty filter reset</t>
  </si>
  <si>
    <t>1. Clear filter
2. Apply</t>
  </si>
  <si>
    <t>Full data displayed</t>
  </si>
  <si>
    <t>Reports - Sales Reports</t>
  </si>
  <si>
    <t>Sales Reports page loads</t>
  </si>
  <si>
    <t>1. Navigate to Reports → Sales Reports</t>
  </si>
  <si>
    <t>Sales report loads successfully</t>
  </si>
  <si>
    <t>Sales totals match Sales Orders/Invoices</t>
  </si>
  <si>
    <t>1. Compare totals</t>
  </si>
  <si>
    <t>Report totals match transactional data</t>
  </si>
  <si>
    <t>Date filter works</t>
  </si>
  <si>
    <t>1. Apply From/To Date filter</t>
  </si>
  <si>
    <t>Data updates correctly</t>
  </si>
  <si>
    <t>Graph reflects filtered data</t>
  </si>
  <si>
    <t>1. Apply filter
2. View graph</t>
  </si>
  <si>
    <t>Graph updates accordingly</t>
  </si>
  <si>
    <t>Reports - Product Reports</t>
  </si>
  <si>
    <t>Product Reports page loads</t>
  </si>
  <si>
    <t>1. Navigate to Product Reports</t>
  </si>
  <si>
    <t>Product report loads successfully</t>
  </si>
  <si>
    <t>Product count accuracy</t>
  </si>
  <si>
    <t>1. Compare report count with 
Product module</t>
  </si>
  <si>
    <t>Counts match</t>
  </si>
  <si>
    <t>Date filter functionality</t>
  </si>
  <si>
    <t>Reports - Contact Reports</t>
  </si>
  <si>
    <t>Contact Reports page loads</t>
  </si>
  <si>
    <t>1. Navigate to Contact 
Reports</t>
  </si>
  <si>
    <t>Report loads successfully</t>
  </si>
  <si>
    <t>Switch to Daily View</t>
  </si>
  <si>
    <t>1. Toggle Daily view</t>
  </si>
  <si>
    <t>Report displays daily breakdown</t>
  </si>
  <si>
    <t>Switch to Monthly View</t>
  </si>
  <si>
    <t>1. Toggle Monthly view</t>
  </si>
  <si>
    <t>Report displays monthly breakdown</t>
  </si>
  <si>
    <t>Toggle updates graph</t>
  </si>
  <si>
    <t>1. Switch views
2. Observe graph</t>
  </si>
  <si>
    <t>Graph reflects selected view</t>
  </si>
  <si>
    <t>Reports - Project Reports</t>
  </si>
  <si>
    <t>Project Reports page loads</t>
  </si>
  <si>
    <t>1. Navigate to Project 
Reports</t>
  </si>
  <si>
    <t>Switch Daily/Monthly view</t>
  </si>
  <si>
    <t>1. Toggle view</t>
  </si>
  <si>
    <t>Data and graph update correctly</t>
  </si>
  <si>
    <t>Project data accuracy</t>
  </si>
  <si>
    <t>1. Compare report totals 
with Project module</t>
  </si>
  <si>
    <t>Data matches</t>
  </si>
  <si>
    <t>Shipping Provider 
Types page loads</t>
  </si>
  <si>
    <t>1. Navigate to Shipping 
Provider Types</t>
  </si>
  <si>
    <t>Create Shipping 
Provider Type</t>
  </si>
  <si>
    <t>1. Click Add
2. Enter Name
3. (Optional) Description &amp; 
Color
4. Set Status
5. Save</t>
  </si>
  <si>
    <t>Provider Type created successfully</t>
  </si>
  <si>
    <t>Name required 
validation</t>
  </si>
  <si>
    <t>1. Leave Name empty
2. Save</t>
  </si>
  <si>
    <t>Duplicate Name 
validation</t>
  </si>
  <si>
    <t>1. Enter existing Name
2. Save</t>
  </si>
  <si>
    <t>System prevents duplicate entry or 
shows validation error</t>
  </si>
  <si>
    <t>View Shipping 
Provider Type details</t>
  </si>
  <si>
    <t>1. Click an existing Shipping 
Provider Type from list</t>
  </si>
  <si>
    <t>Shipping Provider Type details 
displayed correctly</t>
  </si>
  <si>
    <t>Edit Shipping Provider 
Type</t>
  </si>
  <si>
    <t>1. Edit existing record fields
2. Click Save</t>
  </si>
  <si>
    <t>Change Shipping 
Provider Type status</t>
  </si>
  <si>
    <t>1. Open existing record
2. Change Status
3. Click Save</t>
  </si>
  <si>
    <t>Status updates successfully according 
to selected value</t>
  </si>
  <si>
    <t>Delete Shipping 
Provider Type</t>
  </si>
  <si>
    <t>1. Click Delete on unused 
record
2. Confirm deletion</t>
  </si>
  <si>
    <t>Shipping Provider Type deleted 
successfully</t>
  </si>
  <si>
    <t>Search Shipping 
Provider Type</t>
  </si>
  <si>
    <t>1. Enter keyword in Search 
field</t>
  </si>
  <si>
    <t>Matching records displayed correctly</t>
  </si>
  <si>
    <t>Correct filtered results displayed</t>
  </si>
  <si>
    <t>Plans - Plans</t>
  </si>
  <si>
    <t>Plans page loads</t>
  </si>
  <si>
    <t>1. Navigate to Plans module</t>
  </si>
  <si>
    <t>Plans page loads successfully with 
available plans displayed</t>
  </si>
  <si>
    <t>View available plans</t>
  </si>
  <si>
    <t>1. Verify Free, Starter, Growth, Pro, Business+ 
plans are displayed</t>
  </si>
  <si>
    <t>All available plans displayed correctly 
with pricing and details</t>
  </si>
  <si>
    <t>Monthly and Yearly toggle</t>
  </si>
  <si>
    <t>Start 30-Day Trial</t>
  </si>
  <si>
    <t>1. Click “Start 30 Day Trial” for a plan</t>
  </si>
  <si>
    <t>Trial activated successfully for selected 
plan</t>
  </si>
  <si>
    <t>Trial activation restriction</t>
  </si>
  <si>
    <t>1. Attempt to activate trial again (if already used)</t>
  </si>
  <si>
    <t>System prevents duplicate trial activation</t>
  </si>
  <si>
    <t>Subscribe Now button opens payment window</t>
  </si>
  <si>
    <t>1. Click “Subscribe Now”</t>
  </si>
  <si>
    <t>Payment or subscription window opens 
for selected plan</t>
  </si>
  <si>
    <t>Selected Plan details correctness</t>
  </si>
  <si>
    <t>1. Click Subscribe on a specific plan</t>
  </si>
  <si>
    <t>Selected plan name, price, and billing 
cycle are displayed correctly in the 
payment window</t>
  </si>
  <si>
    <t>Select payment method</t>
  </si>
  <si>
    <t>1. Select available payment method
2. Proceed</t>
  </si>
  <si>
    <t>Selected payment method is accepted 
and user proceeds to payment confirmation</t>
  </si>
  <si>
    <t>Coupon code valid</t>
  </si>
  <si>
    <t>1. Enter valid coupon code
2. Apply</t>
  </si>
  <si>
    <t>Valid coupon is accepted and discount 
is applied to the total price</t>
  </si>
  <si>
    <t>Coupon code invalid</t>
  </si>
  <si>
    <t>1. Enter invalid coupon code
2. Apply</t>
  </si>
  <si>
    <t>System displays error message indicating 
coupon code is invalid</t>
  </si>
  <si>
    <t>Successful subscription payment</t>
  </si>
  <si>
    <t>1. Complete payment process</t>
  </si>
  <si>
    <t>Payment is processed successfully and 
subscription is activated for the selected 
plan</t>
  </si>
  <si>
    <t>Payment failure handling</t>
  </si>
  <si>
    <t>1. Simulate failed payment</t>
  </si>
  <si>
    <t>System displays payment failure 
message and subscription is not 
activated</t>
  </si>
  <si>
    <t>Coupon + Yearly billing combination</t>
  </si>
  <si>
    <t>1. Navigate to Plans page
2. Select Yearly billing
3. Click Subscribe on a plan
4. Enter valid coupon code
5. Apply coupon</t>
  </si>
  <si>
    <t>Coupon discount is correctly applied to the 
yearly price</t>
  </si>
  <si>
    <t>Coupon calculation accuracy</t>
  </si>
  <si>
    <t>1. Select Yearly plan
2. Apply percentage or fixed coupon</t>
  </si>
  <si>
    <t>Discounted total price is calculated 
correctly based on coupon rules</t>
  </si>
  <si>
    <t>Switch plan during active trial</t>
  </si>
  <si>
    <t>1. Activate 30-day trial for a plan
2. Navigate to Plans page
3. Attempt to subscribe to another plan</t>
  </si>
  <si>
    <t>System either upgrades plan correctly or 
shows restriction message</t>
  </si>
  <si>
    <t>Plan downgrade during trial</t>
  </si>
  <si>
    <t>1. Start trial on a higher plan
2. Attempt to switch to lower plan</t>
  </si>
  <si>
    <t>System handles downgrade correctly or 
shows restriction based on business rules</t>
  </si>
  <si>
    <t>Refresh after successful payment</t>
  </si>
  <si>
    <t>1. Subscribe to a plan
2. Complete payment successfully
3. Refresh the page</t>
  </si>
  <si>
    <t>User subscription updates immediately</t>
  </si>
  <si>
    <t>Prevent duplicate subscription 
after payment</t>
  </si>
  <si>
    <t>1. Complete successful payment
2. Attempt to subscribe again to same plan</t>
  </si>
  <si>
    <t>System prevents duplicate subscription or 
shows plan already active message</t>
  </si>
  <si>
    <t>Plans - Plan Requests</t>
  </si>
  <si>
    <t>Plan Requests page loads</t>
  </si>
  <si>
    <t>1. Navigate to Plan Requests module</t>
  </si>
  <si>
    <t>Plan Requests page loads successfully 
and displays the list of plan requests</t>
  </si>
  <si>
    <t>Display Plan Requests</t>
  </si>
  <si>
    <t>1. Verify existing plan requests are displayed</t>
  </si>
  <si>
    <t>Existing plan requests are displayed 
correctly in the list</t>
  </si>
  <si>
    <t>Search Plan Requests</t>
  </si>
  <si>
    <t>Matching plan requests are displayed 
based on the search keyword</t>
  </si>
  <si>
    <t>Filter Plan Requests by Status</t>
  </si>
  <si>
    <t>Only plan requests matching the 
selected status are displayed</t>
  </si>
  <si>
    <t>View Plan Request details</t>
  </si>
  <si>
    <t>1. Open a Plan Request</t>
  </si>
  <si>
    <t>Selected plan request details are 
displayed correctly</t>
  </si>
  <si>
    <t>Plans - Plan Orders</t>
  </si>
  <si>
    <t>Plan Orders page loads</t>
  </si>
  <si>
    <t>1. Navigate to Plan Orders module</t>
  </si>
  <si>
    <t>Plan Orders page loads successfully 
and displays the list of plan orders</t>
  </si>
  <si>
    <t>Display Plan Orders</t>
  </si>
  <si>
    <t>1. Verify existing Plan Orders are displayed</t>
  </si>
  <si>
    <t>Existing plan orders are displayed 
correctly in the list</t>
  </si>
  <si>
    <t>Search Plan Orders</t>
  </si>
  <si>
    <t>Matching plan orders are displayed 
based on the search keyword</t>
  </si>
  <si>
    <t>Filter Plan Orders by Status</t>
  </si>
  <si>
    <t>Only plan orders matching the selected 
status are displayed</t>
  </si>
  <si>
    <t>View Plan Order details</t>
  </si>
  <si>
    <t>1. Open a Plan Order</t>
  </si>
  <si>
    <t>Selected plan order details are 
displayed correctly</t>
  </si>
  <si>
    <t>Change Plan Order status</t>
  </si>
  <si>
    <t>1. Open Plan Order2. Change Status3. Save</t>
  </si>
  <si>
    <t>Plan order status is updated successfully 
and reflected in the list</t>
  </si>
  <si>
    <t>Messages display according to selected
 limit</t>
  </si>
  <si>
    <t>Referral Dashboard 
loads</t>
  </si>
  <si>
    <t>1. Navigate to Referral Program 
→ Dashboard</t>
  </si>
  <si>
    <t>Dashboard loads successfully</t>
  </si>
  <si>
    <t>Total Referrals 
accuracy</t>
  </si>
  <si>
    <t>1. Compare dashboard count with actual 
referral records</t>
  </si>
  <si>
    <t>Total Referrals count matches 
system data</t>
  </si>
  <si>
    <t>Referred Users 
count accuracy</t>
  </si>
  <si>
    <t>1. Compare with referred users list</t>
  </si>
  <si>
    <t>Count matches correctly</t>
  </si>
  <si>
    <t>Total Earned 
calculation</t>
  </si>
  <si>
    <t>1. Verify commission totals from referred 
users with active plans</t>
  </si>
  <si>
    <t>Total Earned reflects correct sum</t>
  </si>
  <si>
    <t>Available Balance calculation</t>
  </si>
  <si>
    <t>1. Verify balance after payouts</t>
  </si>
  <si>
    <t>Available Balance updates correctly</t>
  </si>
  <si>
    <t>Not Run</t>
  </si>
  <si>
    <t>Critical financial logic</t>
  </si>
  <si>
    <t>Referred Users 
page loads</t>
  </si>
  <si>
    <t>1. Navigate to Referred Users</t>
  </si>
  <si>
    <t>Total Referred Users 
count</t>
  </si>
  <si>
    <t>1. Compare list count with dashboard</t>
  </si>
  <si>
    <t>Users With Plans 
calculation</t>
  </si>
  <si>
    <t>1. Verify only users with active plans counted</t>
  </si>
  <si>
    <t>Correct users counted</t>
  </si>
  <si>
    <t>Commission per 
user accuracy</t>
  </si>
  <si>
    <t>1. Verify commission from subscribed plans</t>
  </si>
  <si>
    <t>Commission calculated correctly</t>
  </si>
  <si>
    <t>List display accuracy</t>
  </si>
  <si>
    <t>1. Verify user details in list</t>
  </si>
  <si>
    <t>Correct user details displayed</t>
  </si>
  <si>
    <t>Payout Requests
 page loads</t>
  </si>
  <si>
    <t>1. Navigate to Payout Requests</t>
  </si>
  <si>
    <t>Request Payout 
(below minimum amount)</t>
  </si>
  <si>
    <t>1. Ensure balance below minimum
2. Attempt Request Payout</t>
  </si>
  <si>
    <t>Request button disabled or blocked</t>
  </si>
  <si>
    <t>Request Payout 
(eligible amount)</t>
  </si>
  <si>
    <t>1. Ensure balance meets minimum
2. Click Request Payout</t>
  </si>
  <si>
    <t>Payout request created successfully</t>
  </si>
  <si>
    <t>Payout Request 
appears in list</t>
  </si>
  <si>
    <t>1. Create payout request
2. Verify list</t>
  </si>
  <si>
    <t>Request appears correctly in list</t>
  </si>
  <si>
    <t>Available Balance 
updated after payout</t>
  </si>
  <si>
    <t>1. Submit payout request</t>
  </si>
  <si>
    <t>Available balance reduces 
accordingly</t>
  </si>
  <si>
    <t>Media Library page 
loads</t>
  </si>
  <si>
    <t>1. Navigate to Media Library</t>
  </si>
  <si>
    <t>Upload media 
(valid file)</t>
  </si>
  <si>
    <t>1. Click Upload
2. Select valid file
3. Confirm upload</t>
  </si>
  <si>
    <t>File uploads successfully and 
appears in list</t>
  </si>
  <si>
    <t>Upload invalid 
file type</t>
  </si>
  <si>
    <t>1. Select unsupported file</t>
  </si>
  <si>
    <t>System blocks upload or shows error</t>
  </si>
  <si>
    <t>Upload large file</t>
  </si>
  <si>
    <t>1. Upload large file</t>
  </si>
  <si>
    <t>System handles per size limit rule</t>
  </si>
  <si>
    <t>Search media files</t>
  </si>
  <si>
    <t>Matching media files displayed</t>
  </si>
  <si>
    <t>Delete media file</t>
  </si>
  <si>
    <t>1. Delete media file</t>
  </si>
  <si>
    <t>File removed successfully</t>
  </si>
  <si>
    <t>Notification Templates 
page loads</t>
  </si>
  <si>
    <t>1. Navigate to Notification Templates</t>
  </si>
  <si>
    <t>Templates displayed successfully</t>
  </si>
  <si>
    <t>View Notification 
Template</t>
  </si>
  <si>
    <t>1. Click Eye icon</t>
  </si>
  <si>
    <t>Template details displayed correctly</t>
  </si>
  <si>
    <t>Edit Template Title</t>
  </si>
  <si>
    <t>1. Modify Title
2. Save</t>
  </si>
  <si>
    <t>Title updated successfully</t>
  </si>
  <si>
    <t>Edit Template Content</t>
  </si>
  <si>
    <t>1. Modify Content
2. Save</t>
  </si>
  <si>
    <t>Content updated successfully</t>
  </si>
  <si>
    <t>1. Remove Title or Content
2. Save</t>
  </si>
  <si>
    <t>Validation error shown (if required)</t>
  </si>
  <si>
    <t>Search Notification 
Template</t>
  </si>
  <si>
    <t>Matching templates displayed</t>
  </si>
  <si>
    <t>Access Settings page</t>
  </si>
  <si>
    <t>1. Login as Super Admin
2. Navigate to Settings</t>
  </si>
  <si>
    <t>Settings page loads successfully 
displaying all configuration sections</t>
  </si>
  <si>
    <t>Verify Language setting 
changes</t>
  </si>
  <si>
    <t>1. Navigate to Settings → System Settings → 
Language. 
2. Select a different language from the dropdown. 
3. Click Save/Apply.</t>
  </si>
  <si>
    <t>UI elements, messages, and labels reflect 
the selected language.</t>
  </si>
  <si>
    <t>UI elements, messages, and labels does not reflect the selected language.</t>
  </si>
  <si>
    <t>Verify Date Format 
change</t>
  </si>
  <si>
    <t>1. Navigate to Settings → System Settings → 
Date Format. 
2. Select a new date format
3. Click Save/Apply.</t>
  </si>
  <si>
    <t>All date fields across the system display in 
the new format.</t>
  </si>
  <si>
    <t>Selection reverts back to old format after 
clicking save</t>
  </si>
  <si>
    <t>(PASSED) 03/24/2027</t>
  </si>
  <si>
    <t>Verify Time Format 
change</t>
  </si>
  <si>
    <t>1. Navigate to Settings → System Settings → Time 
Format. 
2. Select 12-hour or 24-hour format. 
3. Click Save/Apply.</t>
  </si>
  <si>
    <t>All time fields update to the selected 
format.</t>
  </si>
  <si>
    <t>Selection reverts back to old format
after clicking save</t>
  </si>
  <si>
    <t>(PASSED) 03/24/2028</t>
  </si>
  <si>
    <t>Verify Default Timezone 
change</t>
  </si>
  <si>
    <t>1. Navigate to Settings → System Settings → 
Default Timezone. 
2. Select a new timezone. 
3. Click Save/Apply.</t>
  </si>
  <si>
    <t>All time-sensitive data reflects the 
updated timezone.</t>
  </si>
  <si>
    <t>Selection reverts back to Asia/Manila 
Timezone after clicking save</t>
  </si>
  <si>
    <t>(PASSED) 03/24/2029</t>
  </si>
  <si>
    <t>Verify Email Provider 
settings</t>
  </si>
  <si>
    <t>1. Navigate to Settings → Email Settings → 
Email Provider. 
2. Select an email provider. 
3. Click Save/Apply.</t>
  </si>
  <si>
    <t>System sends emails using the selected 
provider.</t>
  </si>
  <si>
    <t>Verify SMTP Settings</t>
  </si>
  <si>
    <t>1. Navigate to Settings → Email Settings → 
SMTP Host/Port/Username/Password/Encryption. 
2. Enter valid SMTP details. 
3. Click Save/Apply.</t>
  </si>
  <si>
    <t>Emails are successfully sent using 
SMTP configuration.</t>
  </si>
  <si>
    <t>Verify From Address 
and Name</t>
  </si>
  <si>
    <t>1. Navigate to Settings → Email Settings → 
From Address/From Name. 
2. Enter new values. 
3. Click Save/Apply.</t>
  </si>
  <si>
    <t>Emails sent from system reflect updated 
address and name.</t>
  </si>
  <si>
    <t>Verify Email 
Notification toggle</t>
  </si>
  <si>
    <t>1. Navigate to Settings → Email Notification Settings. 
2. Enable or disable specific notifications. 
3. Click Save/Apply.</t>
  </si>
  <si>
    <t>Notifications sent according to updated 
configuration.</t>
  </si>
  <si>
    <t>Verify Twilio SMS 
configuration</t>
  </si>
  <si>
    <t>1. Navigate to Settings → Twilio Notification Settings. 
2. Enter valid Twilio account SID, token, and number. 
3. Click Save/Apply.</t>
  </si>
  <si>
    <t>SMS notifications sent successfully via 
Twilio.</t>
  </si>
  <si>
    <t>Verify Company 
Payment gateway</t>
  </si>
  <si>
    <t>1. Navigate to Settings → Company Payment Settings. 
2. Select/configure payment gateway. 
3. Click Save/Apply.</t>
  </si>
  <si>
    <t>Subscription payments processed via 
configured gateway.</t>
  </si>
  <si>
    <t>Verify Quote Template 
customization</t>
  </si>
  <si>
    <t>1. Navigate to Settings → Quote Templates. 
2. Update template layout, colors, and display options. 
3. Click Save/Apply.</t>
  </si>
  <si>
    <t>New template reflected in all quotes; 
preview works.</t>
  </si>
  <si>
    <t>Verify Sales Order 
Template customization</t>
  </si>
  <si>
    <t>1. Navigate to Settings → Sales Order Templates. 
2. Update template layout, colors, and display options. 
3. Click Save/Apply.</t>
  </si>
  <si>
    <t>Updated template reflected in all sales 
orders; preview works.</t>
  </si>
  <si>
    <t>Verify Invoice Template
customization</t>
  </si>
  <si>
    <t>1. Navigate to Settings → Invoice Templates. 
2. Update template layout, colors, and display options. 
3. Click Save/Apply.</t>
  </si>
  <si>
    <t>Updated template reflected in all 
invoices; preview works.</t>
  </si>
  <si>
    <t>Verify Google Calendar 
integration</t>
  </si>
  <si>
    <t>1. Navigate to Settings → Google Calendar Settings. 
2. Connect to Google account. 
3. Click Save/Apply.</t>
  </si>
  <si>
    <t>App appointments synchronize with 
Google Calendar.</t>
  </si>
  <si>
    <t>Verify Webhook 
configuration</t>
  </si>
  <si>
    <t>1. Navigate to Settings → Webhook Settings. 
2. Add/edit webhook URL and select events. 
3. Click Save/Apply.</t>
  </si>
  <si>
    <t>Webhook triggers correctly when 
configured events occur.</t>
  </si>
  <si>
    <t>SEVERITY</t>
  </si>
  <si>
    <t>STUDENT</t>
  </si>
  <si>
    <r>
      <rPr>
        <rFont val="Arial"/>
        <color rgb="FF000000"/>
      </rPr>
      <t xml:space="preserve">1. Click </t>
    </r>
    <r>
      <rPr>
        <rFont val="Arial"/>
        <b/>
        <color rgb="FF000000"/>
      </rPr>
      <t xml:space="preserve">Bell </t>
    </r>
    <r>
      <rPr>
        <rFont val="Arial"/>
        <color rgb="FF000000"/>
      </rPr>
      <t>icon
2. Click any Notification</t>
    </r>
  </si>
  <si>
    <t>Other Transaction</t>
  </si>
  <si>
    <t>Menu - Dashboard - Overview</t>
  </si>
  <si>
    <r>
      <rPr>
        <rFont val="Arial"/>
        <color theme="1"/>
        <sz val="10.0"/>
      </rPr>
      <t xml:space="preserve">1. Click </t>
    </r>
    <r>
      <rPr>
        <rFont val="Arial"/>
        <b/>
        <color theme="1"/>
        <sz val="10.0"/>
      </rPr>
      <t>Dashboard</t>
    </r>
    <r>
      <rPr>
        <rFont val="Arial"/>
        <color theme="1"/>
        <sz val="10.0"/>
      </rPr>
      <t xml:space="preserve"> Button
</t>
    </r>
  </si>
  <si>
    <t xml:space="preserve">• User will be redirected to Dashboards
• User will be able to view the overview that consists of:
- Profile Picture
- Full name
- Student ID
- Academic Year
- Year Level
- Semester
- Course
- Department
• User will be able to view Outstanding balance 
- Tooltip icon
- outstanding balance (Hover Tooltip)
- Progress bar &amp; number of months
- Amount Paid
- Total
- Pay button
---------------------------------------------------
- Due on 
- Extended Due on
</t>
  </si>
  <si>
    <t>Menu - Dashboard - Recent Activity</t>
  </si>
  <si>
    <r>
      <rPr>
        <rFont val="Arial"/>
        <color theme="1"/>
        <sz val="10.0"/>
      </rPr>
      <t xml:space="preserve">1. Click </t>
    </r>
    <r>
      <rPr>
        <rFont val="Arial"/>
        <b/>
        <color theme="1"/>
        <sz val="10.0"/>
      </rPr>
      <t>Dashboard</t>
    </r>
    <r>
      <rPr>
        <rFont val="Arial"/>
        <color theme="1"/>
        <sz val="10.0"/>
      </rPr>
      <t xml:space="preserve"> Button
</t>
    </r>
  </si>
  <si>
    <t>• User will be redirected to Dashboards
• User will be able to view the Recent Activity that consists of:
Latest Transactions
- View All link
- Details of Latest Transaction
Official Receipt 
-  View All link
- Details of Latest Transaction
- View Receeipt Link
- Processing of OR must not be seen in this table</t>
  </si>
  <si>
    <t>Menu - Tuition fees</t>
  </si>
  <si>
    <r>
      <rPr>
        <rFont val="Arial"/>
        <color theme="1"/>
        <sz val="10.0"/>
      </rPr>
      <t xml:space="preserve">1. Click </t>
    </r>
    <r>
      <rPr>
        <rFont val="Arial"/>
        <b/>
        <color theme="1"/>
        <sz val="10.0"/>
      </rPr>
      <t xml:space="preserve">Tuition Fees </t>
    </r>
    <r>
      <rPr>
        <rFont val="Arial"/>
        <color theme="1"/>
        <sz val="10.0"/>
      </rPr>
      <t>Button</t>
    </r>
  </si>
  <si>
    <t>• User can be able to view 
- Pay outstanding balance
- Search
- Date Range
- Filter by (Payment Status / OR status)
Tuition Table
- Reference No.
- Date of payment
- Payment Status
- Amount
- Official Receipt Status
- Pagination</t>
  </si>
  <si>
    <t>Support - Terms and Conditions</t>
  </si>
  <si>
    <r>
      <rPr>
        <rFont val="Arial"/>
        <color theme="1"/>
        <sz val="10.0"/>
      </rPr>
      <t xml:space="preserve">1. Click </t>
    </r>
    <r>
      <rPr>
        <rFont val="Arial"/>
        <b/>
        <color theme="1"/>
        <sz val="10.0"/>
      </rPr>
      <t xml:space="preserve">Terms and Conditions </t>
    </r>
    <r>
      <rPr>
        <rFont val="Arial"/>
        <color theme="1"/>
        <sz val="10.0"/>
      </rPr>
      <t>Button</t>
    </r>
  </si>
  <si>
    <t xml:space="preserve">• User is able to view Terms and Conditions 
• User is able to view the Last Revised </t>
  </si>
  <si>
    <t>Support - Finance Policy</t>
  </si>
  <si>
    <r>
      <rPr>
        <rFont val="Arial"/>
        <color theme="1"/>
        <sz val="10.0"/>
      </rPr>
      <t xml:space="preserve">1. Click </t>
    </r>
    <r>
      <rPr>
        <rFont val="Arial"/>
        <b/>
        <color theme="1"/>
        <sz val="10.0"/>
      </rPr>
      <t xml:space="preserve">Finance Policy </t>
    </r>
    <r>
      <rPr>
        <rFont val="Arial"/>
        <color theme="1"/>
        <sz val="10.0"/>
      </rPr>
      <t>Button</t>
    </r>
  </si>
  <si>
    <t xml:space="preserve">• User is able to view Finance Policy
• User is able to view the Last Revised </t>
  </si>
  <si>
    <t>Support - FAQs</t>
  </si>
  <si>
    <r>
      <rPr>
        <rFont val="Arial"/>
        <color theme="1"/>
        <sz val="10.0"/>
      </rPr>
      <t xml:space="preserve">1. Click </t>
    </r>
    <r>
      <rPr>
        <rFont val="Arial"/>
        <b/>
        <color theme="1"/>
        <sz val="10.0"/>
      </rPr>
      <t xml:space="preserve">FAQs </t>
    </r>
    <r>
      <rPr>
        <rFont val="Arial"/>
        <color theme="1"/>
        <sz val="10.0"/>
      </rPr>
      <t>Button</t>
    </r>
  </si>
  <si>
    <t xml:space="preserve">• User is able to view FAQs </t>
  </si>
  <si>
    <t>Support - Contact us</t>
  </si>
  <si>
    <r>
      <rPr>
        <rFont val="Arial"/>
        <color theme="1"/>
        <sz val="10.0"/>
      </rPr>
      <t xml:space="preserve">1. Click </t>
    </r>
    <r>
      <rPr>
        <rFont val="Arial"/>
        <b/>
        <color theme="1"/>
        <sz val="10.0"/>
      </rPr>
      <t xml:space="preserve">Contact us </t>
    </r>
    <r>
      <rPr>
        <rFont val="Arial"/>
        <color theme="1"/>
        <sz val="10.0"/>
      </rPr>
      <t>Button</t>
    </r>
  </si>
  <si>
    <t xml:space="preserve">• User is able to view Contact us 
-Send us an Email
- Contact details
 </t>
  </si>
  <si>
    <t>Terms &amp; Conditions</t>
  </si>
  <si>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</si>
  <si>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</si>
  <si>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 xml:space="preserve">Tuition Fees </t>
    </r>
    <r>
      <rPr>
        <rFont val="Arial"/>
        <color theme="1"/>
        <sz val="10.0"/>
      </rPr>
      <t>Button</t>
    </r>
  </si>
  <si>
    <t>Menu - Other Transactions</t>
  </si>
  <si>
    <r>
      <rPr>
        <rFont val="Arial"/>
        <color theme="1"/>
        <sz val="10.0"/>
      </rPr>
      <t xml:space="preserve">1. Click </t>
    </r>
    <r>
      <rPr>
        <rFont val="Arial"/>
        <b/>
        <color theme="1"/>
        <sz val="10.0"/>
      </rPr>
      <t xml:space="preserve">Other Transaction </t>
    </r>
    <r>
      <rPr>
        <rFont val="Arial"/>
        <color theme="1"/>
        <sz val="10.0"/>
      </rPr>
      <t>Button</t>
    </r>
  </si>
  <si>
    <t>• User can be able to view 
- Pay other fees
- Search
- Date Range
Other Transaction Table
- Reference No.
- Date of payment
- Payment Status
- Miscellaneous item
- Amount
- Payment Channel
- Pagination</t>
  </si>
  <si>
    <r>
      <rPr>
        <rFont val="Arial"/>
        <color theme="1"/>
        <sz val="10.0"/>
      </rPr>
      <t xml:space="preserve">1. Click </t>
    </r>
    <r>
      <rPr>
        <rFont val="Arial"/>
        <b/>
        <color theme="1"/>
        <sz val="10.0"/>
      </rPr>
      <t xml:space="preserve">Finance Policy </t>
    </r>
    <r>
      <rPr>
        <rFont val="Arial"/>
        <color theme="1"/>
        <sz val="10.0"/>
      </rPr>
      <t>Button</t>
    </r>
  </si>
  <si>
    <r>
      <rPr>
        <rFont val="Arial"/>
        <color theme="1"/>
        <sz val="10.0"/>
      </rPr>
      <t xml:space="preserve">1. Click </t>
    </r>
    <r>
      <rPr>
        <rFont val="Arial"/>
        <b/>
        <color theme="1"/>
        <sz val="10.0"/>
      </rPr>
      <t xml:space="preserve">FAQs </t>
    </r>
    <r>
      <rPr>
        <rFont val="Arial"/>
        <color theme="1"/>
        <sz val="10.0"/>
      </rPr>
      <t>Button</t>
    </r>
  </si>
  <si>
    <r>
      <rPr>
        <rFont val="Arial"/>
        <color theme="1"/>
        <sz val="10.0"/>
      </rPr>
      <t xml:space="preserve">1. Click </t>
    </r>
    <r>
      <rPr>
        <rFont val="Arial"/>
        <b/>
        <color theme="1"/>
        <sz val="10.0"/>
      </rPr>
      <t xml:space="preserve">Contact us </t>
    </r>
    <r>
      <rPr>
        <rFont val="Arial"/>
        <color theme="1"/>
        <sz val="10.0"/>
      </rPr>
      <t>Button</t>
    </r>
  </si>
  <si>
    <t>Terms and Condition</t>
  </si>
  <si>
    <t>1. View Terms &amp; Conditions</t>
  </si>
  <si>
    <t>• View Terms and Conditions Content</t>
  </si>
  <si>
    <t>Terms and Condition - Last Revised</t>
  </si>
  <si>
    <t>• Last Revised must be updated when the Terms and Conditions is revised</t>
  </si>
  <si>
    <t>Finance Policy</t>
  </si>
  <si>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</si>
  <si>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</si>
  <si>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 xml:space="preserve">Tuition Fees </t>
    </r>
    <r>
      <rPr>
        <rFont val="Arial"/>
        <color theme="1"/>
        <sz val="10.0"/>
      </rPr>
      <t>Button</t>
    </r>
  </si>
  <si>
    <r>
      <rPr>
        <rFont val="Arial"/>
        <color theme="1"/>
        <sz val="10.0"/>
      </rPr>
      <t xml:space="preserve">1. Click </t>
    </r>
    <r>
      <rPr>
        <rFont val="Arial"/>
        <b/>
        <color theme="1"/>
        <sz val="10.0"/>
      </rPr>
      <t xml:space="preserve">Other Transaction </t>
    </r>
    <r>
      <rPr>
        <rFont val="Arial"/>
        <color theme="1"/>
        <sz val="10.0"/>
      </rPr>
      <t>Button</t>
    </r>
  </si>
  <si>
    <r>
      <rPr>
        <rFont val="Arial"/>
        <color theme="1"/>
        <sz val="10.0"/>
      </rPr>
      <t xml:space="preserve">1. Click </t>
    </r>
    <r>
      <rPr>
        <rFont val="Arial"/>
        <b/>
        <color theme="1"/>
        <sz val="10.0"/>
      </rPr>
      <t xml:space="preserve">Terms and Conditions </t>
    </r>
    <r>
      <rPr>
        <rFont val="Arial"/>
        <color theme="1"/>
        <sz val="10.0"/>
      </rPr>
      <t>Button</t>
    </r>
  </si>
  <si>
    <r>
      <rPr>
        <rFont val="Arial"/>
        <color theme="1"/>
        <sz val="10.0"/>
      </rPr>
      <t xml:space="preserve">1. Click </t>
    </r>
    <r>
      <rPr>
        <rFont val="Arial"/>
        <b/>
        <color theme="1"/>
        <sz val="10.0"/>
      </rPr>
      <t xml:space="preserve">FAQs </t>
    </r>
    <r>
      <rPr>
        <rFont val="Arial"/>
        <color theme="1"/>
        <sz val="10.0"/>
      </rPr>
      <t>Button</t>
    </r>
  </si>
  <si>
    <r>
      <rPr>
        <rFont val="Arial"/>
        <color theme="1"/>
        <sz val="10.0"/>
      </rPr>
      <t xml:space="preserve">1. Click </t>
    </r>
    <r>
      <rPr>
        <rFont val="Arial"/>
        <b/>
        <color theme="1"/>
        <sz val="10.0"/>
      </rPr>
      <t xml:space="preserve">Contact us </t>
    </r>
    <r>
      <rPr>
        <rFont val="Arial"/>
        <color theme="1"/>
        <sz val="10.0"/>
      </rPr>
      <t>Button</t>
    </r>
  </si>
  <si>
    <t>Finance Policy - Last Revised</t>
  </si>
  <si>
    <t>FAQs</t>
  </si>
  <si>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</si>
  <si>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</si>
  <si>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 xml:space="preserve">Tuition Fees </t>
    </r>
    <r>
      <rPr>
        <rFont val="Arial"/>
        <color theme="1"/>
        <sz val="10.0"/>
      </rPr>
      <t>Button</t>
    </r>
  </si>
  <si>
    <r>
      <rPr>
        <rFont val="Arial"/>
        <color theme="1"/>
        <sz val="10.0"/>
      </rPr>
      <t xml:space="preserve">1. Click </t>
    </r>
    <r>
      <rPr>
        <rFont val="Arial"/>
        <b/>
        <color theme="1"/>
        <sz val="10.0"/>
      </rPr>
      <t xml:space="preserve">Other Transaction </t>
    </r>
    <r>
      <rPr>
        <rFont val="Arial"/>
        <color theme="1"/>
        <sz val="10.0"/>
      </rPr>
      <t>Button</t>
    </r>
  </si>
  <si>
    <r>
      <rPr>
        <rFont val="Arial"/>
        <color theme="1"/>
        <sz val="10.0"/>
      </rPr>
      <t xml:space="preserve">1. Click </t>
    </r>
    <r>
      <rPr>
        <rFont val="Arial"/>
        <b/>
        <color theme="1"/>
        <sz val="10.0"/>
      </rPr>
      <t xml:space="preserve">Terms and Conditions </t>
    </r>
    <r>
      <rPr>
        <rFont val="Arial"/>
        <color theme="1"/>
        <sz val="10.0"/>
      </rPr>
      <t>Button</t>
    </r>
  </si>
  <si>
    <r>
      <rPr>
        <rFont val="Arial"/>
        <color theme="1"/>
        <sz val="10.0"/>
      </rPr>
      <t xml:space="preserve">1. Click </t>
    </r>
    <r>
      <rPr>
        <rFont val="Arial"/>
        <b/>
        <color theme="1"/>
        <sz val="10.0"/>
      </rPr>
      <t xml:space="preserve">Finance Policy </t>
    </r>
    <r>
      <rPr>
        <rFont val="Arial"/>
        <color theme="1"/>
        <sz val="10.0"/>
      </rPr>
      <t>Button</t>
    </r>
  </si>
  <si>
    <r>
      <rPr>
        <rFont val="Arial"/>
        <color theme="1"/>
        <sz val="10.0"/>
      </rPr>
      <t xml:space="preserve">1. Click </t>
    </r>
    <r>
      <rPr>
        <rFont val="Arial"/>
        <b/>
        <color theme="1"/>
        <sz val="10.0"/>
      </rPr>
      <t xml:space="preserve">Contact us </t>
    </r>
    <r>
      <rPr>
        <rFont val="Arial"/>
        <color theme="1"/>
        <sz val="10.0"/>
      </rPr>
      <t>Button</t>
    </r>
  </si>
  <si>
    <t>Search</t>
  </si>
  <si>
    <t xml:space="preserve">1. Input Text in the Search Field </t>
  </si>
  <si>
    <t>• User will be able to see the matched FAQs based on the inputted text on search field</t>
  </si>
  <si>
    <t>Plus Icon</t>
  </si>
  <si>
    <t>1. Click Plus Icon</t>
  </si>
  <si>
    <t>FAQs Record will collapse the clicked Plus icon</t>
  </si>
  <si>
    <t>Minus Icon</t>
  </si>
  <si>
    <t>1. Click Minus Icon</t>
  </si>
  <si>
    <t>FAQs Record will uncollapse the clicked Minus icon</t>
  </si>
  <si>
    <t>Contact Us</t>
  </si>
  <si>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</si>
  <si>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Dashboard</t>
    </r>
    <r>
      <rPr>
        <rFont val="Arial"/>
        <color theme="1"/>
        <sz val="10.0"/>
      </rPr>
      <t xml:space="preserve"> Button
</t>
    </r>
  </si>
  <si>
    <r>
      <rPr>
        <rFont val="Arial"/>
        <color theme="1"/>
        <sz val="10.0"/>
      </rPr>
      <t xml:space="preserve">1. Click </t>
    </r>
    <r>
      <rPr>
        <rFont val="Arial"/>
        <b/>
        <color theme="1"/>
        <sz val="10.0"/>
      </rPr>
      <t xml:space="preserve">Tuition Fees </t>
    </r>
    <r>
      <rPr>
        <rFont val="Arial"/>
        <color theme="1"/>
        <sz val="10.0"/>
      </rPr>
      <t>Button</t>
    </r>
  </si>
  <si>
    <r>
      <rPr>
        <rFont val="Arial"/>
        <color theme="1"/>
        <sz val="10.0"/>
      </rPr>
      <t xml:space="preserve">1. Click </t>
    </r>
    <r>
      <rPr>
        <rFont val="Arial"/>
        <b/>
        <color theme="1"/>
        <sz val="10.0"/>
      </rPr>
      <t xml:space="preserve">Other Transaction </t>
    </r>
    <r>
      <rPr>
        <rFont val="Arial"/>
        <color theme="1"/>
        <sz val="10.0"/>
      </rPr>
      <t>Button</t>
    </r>
  </si>
  <si>
    <r>
      <rPr>
        <rFont val="Arial"/>
        <color theme="1"/>
        <sz val="10.0"/>
      </rPr>
      <t xml:space="preserve">1. Click </t>
    </r>
    <r>
      <rPr>
        <rFont val="Arial"/>
        <b/>
        <color theme="1"/>
        <sz val="10.0"/>
      </rPr>
      <t xml:space="preserve">Terms and Conditions </t>
    </r>
    <r>
      <rPr>
        <rFont val="Arial"/>
        <color theme="1"/>
        <sz val="10.0"/>
      </rPr>
      <t>Button</t>
    </r>
  </si>
  <si>
    <r>
      <rPr>
        <rFont val="Arial"/>
        <color theme="1"/>
        <sz val="10.0"/>
      </rPr>
      <t xml:space="preserve">1. Click </t>
    </r>
    <r>
      <rPr>
        <rFont val="Arial"/>
        <b/>
        <color theme="1"/>
        <sz val="10.0"/>
      </rPr>
      <t xml:space="preserve">Finance Policy </t>
    </r>
    <r>
      <rPr>
        <rFont val="Arial"/>
        <color theme="1"/>
        <sz val="10.0"/>
      </rPr>
      <t>Button</t>
    </r>
  </si>
  <si>
    <r>
      <rPr>
        <rFont val="Arial"/>
        <color theme="1"/>
        <sz val="10.0"/>
      </rPr>
      <t xml:space="preserve">1. Click </t>
    </r>
    <r>
      <rPr>
        <rFont val="Arial"/>
        <b/>
        <color theme="1"/>
        <sz val="10.0"/>
      </rPr>
      <t xml:space="preserve">FAQs </t>
    </r>
    <r>
      <rPr>
        <rFont val="Arial"/>
        <color theme="1"/>
        <sz val="10.0"/>
      </rPr>
      <t>Button</t>
    </r>
  </si>
  <si>
    <t xml:space="preserve">Sending of Email - Subject </t>
  </si>
  <si>
    <t>1. Input Subject (Required, Maximum 50 Characters)
2. Input Message (Required, Maximum of 255 Characters)</t>
  </si>
  <si>
    <t xml:space="preserve">• User is able to input aplanumeric characters 
• This field is Required to send email 
</t>
  </si>
  <si>
    <t>Sending of Email - Message</t>
  </si>
  <si>
    <t>Sending of Email - Successful email</t>
  </si>
  <si>
    <r>
      <rPr>
        <rFont val="Arial"/>
        <color theme="1"/>
        <sz val="10.0"/>
      </rPr>
      <t xml:space="preserve">1. Input Subject (Required, Maximum 50 Characters)
2. Input Message (Required, Maximum of 255 Characters)
3. Click </t>
    </r>
    <r>
      <rPr>
        <rFont val="Arial"/>
        <b/>
        <color theme="1"/>
        <sz val="10.0"/>
      </rPr>
      <t xml:space="preserve">"Send Message" </t>
    </r>
    <r>
      <rPr>
        <rFont val="Arial"/>
        <color theme="1"/>
        <sz val="10.0"/>
      </rPr>
      <t>Button</t>
    </r>
  </si>
  <si>
    <t>• Subject Field must have inputs 
• Message Field must have inputs
• The receiving Email must receive the email</t>
  </si>
  <si>
    <t>Sending of Email - Unuccessful email (Subject)</t>
  </si>
  <si>
    <r>
      <rPr>
        <rFont val="Arial"/>
        <color theme="1"/>
        <sz val="10.0"/>
      </rPr>
      <t xml:space="preserve">1. Input Subject (Required, Maximum 50 Characters)
2. Click </t>
    </r>
    <r>
      <rPr>
        <rFont val="Arial"/>
        <b/>
        <color theme="1"/>
        <sz val="10.0"/>
      </rPr>
      <t xml:space="preserve">"Send Message" </t>
    </r>
    <r>
      <rPr>
        <rFont val="Arial"/>
        <color theme="1"/>
        <sz val="10.0"/>
      </rPr>
      <t>Button</t>
    </r>
  </si>
  <si>
    <t>• Error in Subject Field that message field is required
• Sending Email must not proceed</t>
  </si>
  <si>
    <t>Sending of Email - Unuccessful email (Message)</t>
  </si>
  <si>
    <r>
      <rPr>
        <rFont val="Arial"/>
        <color theme="1"/>
        <sz val="10.0"/>
      </rPr>
      <t xml:space="preserve">1. Input Message (Required, Maximum 225 Characters)
2. Click </t>
    </r>
    <r>
      <rPr>
        <rFont val="Arial"/>
        <b/>
        <color theme="1"/>
        <sz val="10.0"/>
      </rPr>
      <t xml:space="preserve">"Send Message" </t>
    </r>
    <r>
      <rPr>
        <rFont val="Arial"/>
        <color theme="1"/>
        <sz val="10.0"/>
      </rPr>
      <t>Button</t>
    </r>
  </si>
  <si>
    <t>• Error in Message Field that message field is required
• Sending Email must not proceed</t>
  </si>
  <si>
    <r>
      <rPr>
        <rFont val="Arial"/>
        <color theme="1"/>
      </rPr>
      <t xml:space="preserve">1. Click </t>
    </r>
    <r>
      <rPr>
        <rFont val="Arial"/>
        <b/>
        <color theme="1"/>
      </rPr>
      <t xml:space="preserve">Bell </t>
    </r>
    <r>
      <rPr>
        <rFont val="Arial"/>
        <color theme="1"/>
      </rPr>
      <t>icon
2. Click any Notification</t>
    </r>
  </si>
  <si>
    <t>• User will be redirected to Payment Management Tab</t>
  </si>
  <si>
    <t>Student Management</t>
  </si>
  <si>
    <t>Payment Management</t>
  </si>
  <si>
    <t>Manage OR</t>
  </si>
  <si>
    <t>Staff Management</t>
  </si>
  <si>
    <t>Content Management</t>
  </si>
  <si>
    <t>Report Management</t>
  </si>
  <si>
    <t>History Logs</t>
  </si>
  <si>
    <t>Sign In</t>
  </si>
  <si>
    <t>Dashboard page 
loads</t>
  </si>
  <si>
    <t>1. Login as Super Admin
2. Navigate to Dashboard</t>
  </si>
  <si>
    <t>Dashboard loads successfully with all 
widgets displayed</t>
  </si>
  <si>
    <t>Total Company 
widget accuracy</t>
  </si>
  <si>
    <t>1. Check Total Company count on Dashboard
2. Compare with Companies module count</t>
  </si>
  <si>
    <t>Total Company count matches actual 
number of companies</t>
  </si>
  <si>
    <t>Total Users widget 
accuracy</t>
  </si>
  <si>
    <t>1. View Total Users widget
2. Compare with system users list</t>
  </si>
  <si>
    <t>Total Users value matches actual 
users in system</t>
  </si>
  <si>
    <t>Active Subscriptions
display</t>
  </si>
  <si>
    <t>1. View Active Subscriptions widget</t>
  </si>
  <si>
    <t>Correct number of active 
subscriptions displayed</t>
  </si>
  <si>
    <t>Monthly Growth 
chart display</t>
  </si>
  <si>
    <t>1. Observe Monthly Growth chart</t>
  </si>
  <si>
    <t>Chart loads successfully and reflects 
system growth data</t>
  </si>
  <si>
    <t>Total Revenue 
widget accuracy</t>
  </si>
  <si>
    <t>1. Check Total Revenue value
2. Compare with payment transactions</t>
  </si>
  <si>
    <t>Revenue value matches recorded 
payments</t>
  </si>
  <si>
    <t>Recent Activity feed</t>
  </si>
  <si>
    <t>1. View Recent Activity section</t>
  </si>
  <si>
    <t>Recent system activities are 
displayed correctly</t>
  </si>
  <si>
    <t>Top Performing Plans 
display</t>
  </si>
  <si>
    <t>1. View Top Performing Plans widget</t>
  </si>
  <si>
    <t>Plans ranked correctly based on 
subscriptions</t>
  </si>
  <si>
    <t>Payment Transaction 
Log display</t>
  </si>
  <si>
    <t>1. View Payment Transaction Log section</t>
  </si>
  <si>
    <t>Recent payment transactions 
displayed correctly</t>
  </si>
  <si>
    <t>Company Management 
Explore button</t>
  </si>
  <si>
    <t>1. Click Explore under Company Management</t>
  </si>
  <si>
    <t>System redirects to Companies 
module</t>
  </si>
  <si>
    <t>Subscription Management 
Explore button</t>
  </si>
  <si>
    <t>1. Click Explore under Subscription Management</t>
  </si>
  <si>
    <t>System redirects to Subscription 
Management module</t>
  </si>
  <si>
    <t>Revenue Tracking 
Explore button</t>
  </si>
  <si>
    <t>1. Click Explore under Revenue Tracking</t>
  </si>
  <si>
    <t>System redirects to Revenue 
Tracking module</t>
  </si>
  <si>
    <t>System Growth Explore 
button</t>
  </si>
  <si>
    <t>1. Click Explore under System Growth</t>
  </si>
  <si>
    <t>System redirects to System 
Growth module</t>
  </si>
  <si>
    <t>Companies page loads</t>
  </si>
  <si>
    <t>1. Navigate to Companies module</t>
  </si>
  <si>
    <t>Companies page loads successfully</t>
  </si>
  <si>
    <t>Add company (valid data)</t>
  </si>
  <si>
    <t>1. Click Add Company
2. Enter Company Name
3. Enter Email
4. Enable Login toggle
5. Enter Password
6. Save</t>
  </si>
  <si>
    <t>Company created successfully and 
appears in list</t>
  </si>
  <si>
    <t>Required field validation 
(Company Name)</t>
  </si>
  <si>
    <t>1. Leave Company Name empty
2. Click Save</t>
  </si>
  <si>
    <t>System displays validation error</t>
  </si>
  <si>
    <t>Required field validation 
(Email)</t>
  </si>
  <si>
    <t>1. Leave Email empty
2. Click Save</t>
  </si>
  <si>
    <t>Invalid email format 
validation</t>
  </si>
  <si>
    <t>1. Enter invalid email format
2. Click Save</t>
  </si>
  <si>
    <t>System shows validation error</t>
  </si>
  <si>
    <t>Login toggle behavior</t>
  </si>
  <si>
    <t>1. Enable Login toggle</t>
  </si>
  <si>
    <t>Password field becomes required</t>
  </si>
  <si>
    <t>Disable login toggle</t>
  </si>
  <si>
    <t>1. Disable login toggle</t>
  </si>
  <si>
    <t>Password field becomes optional 
or hidden</t>
  </si>
  <si>
    <t>Switch to List View</t>
  </si>
  <si>
    <t>Click List View option</t>
  </si>
  <si>
    <t>Companies displayed in list format</t>
  </si>
  <si>
    <t>Switch to Grid View</t>
  </si>
  <si>
    <t>Click Grid View option</t>
  </si>
  <si>
    <t>Companies displayed in grid format</t>
  </si>
  <si>
    <t>UI Overflow on some companies with longer details</t>
  </si>
  <si>
    <t>Grid view displays company 
details</t>
  </si>
  <si>
    <t>1. Open Grid View</t>
  </si>
  <si>
    <t>Company cards display correct details 
(company name, email, status, etc.)</t>
  </si>
  <si>
    <t>Search company by name</t>
  </si>
  <si>
    <t>Enter company name in search</t>
  </si>
  <si>
    <t>Matching companies displayed</t>
  </si>
  <si>
    <t>Search company by email</t>
  </si>
  <si>
    <t>Enter company email</t>
  </si>
  <si>
    <t>Correct company displayed</t>
  </si>
  <si>
    <t>Search non-existing company</t>
  </si>
  <si>
    <t>Enter invalid keyword</t>
  </si>
  <si>
    <t>No results displayed</t>
  </si>
  <si>
    <t>Select Active/Inactive filter</t>
  </si>
  <si>
    <t>Companies filtered correctly</t>
  </si>
  <si>
    <t>Filter by Start Date</t>
  </si>
  <si>
    <t>Select start date filter</t>
  </si>
  <si>
    <t>Companies filtered by start date</t>
  </si>
  <si>
    <t>Filter by End Date</t>
  </si>
  <si>
    <t>Select end date filter</t>
  </si>
  <si>
    <t>Companies filtered by end date</t>
  </si>
  <si>
    <t>Search functionality in Grid View</t>
  </si>
  <si>
    <t>1. Navigate to module
2. Select Grid View
3. Enter keyword in Search field</t>
  </si>
  <si>
    <t>Matching records are displayed in
 Grid View</t>
  </si>
  <si>
    <t>Search with no results</t>
  </si>
  <si>
    <t>System displays No results found message</t>
  </si>
  <si>
    <t>Full list of records is displayed again</t>
  </si>
  <si>
    <t>Filter records in Grid View</t>
  </si>
  <si>
    <t>1. Navigate to module
2. Select Grid View
3. Apply filter</t>
  </si>
  <si>
    <t>Records matching filter criteria are
 displayed</t>
  </si>
  <si>
    <t>1. Apply filter
2. Enter keyword in Search</t>
  </si>
  <si>
    <t>System displays records matching both
 search and filter criteria</t>
  </si>
  <si>
    <t>Remove filter</t>
  </si>
  <si>
    <t>1. Apply filter
2. Clear or remove filter</t>
  </si>
  <si>
    <t>All records are displayed again</t>
  </si>
  <si>
    <t>Switch view after search</t>
  </si>
  <si>
    <t>1. Search for a record
2. Switch from List to Grid or Kanban</t>
  </si>
  <si>
    <t>Search results remain consistent
 across views</t>
  </si>
  <si>
    <t>Switch view after applying filter</t>
  </si>
  <si>
    <t>1. Apply filter2. Switch between List, Grid, and Kanban</t>
  </si>
  <si>
    <t>Filtered results remain consistent
 across views</t>
  </si>
  <si>
    <t>Companies
Pagination 10/25/50/100</t>
  </si>
  <si>
    <t>1. Navigate to Companies module
2. Select pagination options 10, 25, 50, 100 
sequentially
3. Observe displayed records</t>
  </si>
  <si>
    <t>System correctly updates displayed 
logs according to selected pagination</t>
  </si>
  <si>
    <t>Navigate to User Logs section</t>
  </si>
  <si>
    <t>User logs displayed successfully</t>
  </si>
  <si>
    <t>Search User Logs</t>
  </si>
  <si>
    <t>Enter keyword in search</t>
  </si>
  <si>
    <t>Matching logs displayed</t>
  </si>
  <si>
    <t>User Logs 
Pagination 10/25/50/100</t>
  </si>
  <si>
    <t>Wedding Suppliers 
page loads</t>
  </si>
  <si>
    <t>1. Login as Super Admin
2. Navigate to Wedding Suppliers module</t>
  </si>
  <si>
    <t>Wedding Suppliers page loads 
successfully</t>
  </si>
  <si>
    <t>Add supplier with valid 
data</t>
  </si>
  <si>
    <t>1. Click Add Supplier
2. Enter Name
3. Select Category
4. Enter supplier details
5. Click Save</t>
  </si>
  <si>
    <t>Supplier is successfully created and 
displayed in the list</t>
  </si>
  <si>
    <t>Required field validation 
– Name</t>
  </si>
  <si>
    <t>1. Click Add Supplier
2. Leave Name empty
3. Click Save</t>
  </si>
  <si>
    <t>System displays validation error for 
Name field</t>
  </si>
  <si>
    <t>Required field validation 
– Category</t>
  </si>
  <si>
    <t>1. Click Add Supplier
2. Leave Category empty
3. Click Save</t>
  </si>
  <si>
    <t>System displays validation error for 
Category</t>
  </si>
  <si>
    <t>Email format validation</t>
  </si>
  <si>
    <t>1. Enter invalid email format
2. Save supplier</t>
  </si>
  <si>
    <t>System shows email validation error</t>
  </si>
  <si>
    <t>Phone number format validation</t>
  </si>
  <si>
    <t>1. Enter invalid phone number format
2. Save supplier</t>
  </si>
  <si>
    <t>System shows phone number 
validation error</t>
  </si>
  <si>
    <t>Accepts phone number 
format with alphabetical 
characters</t>
  </si>
  <si>
    <t>Add supplier with optional 
fields</t>
  </si>
  <si>
    <t>1. Fill Name and Category
2. Leave optional fields empty
3. Save</t>
  </si>
  <si>
    <t>Supplier is successfully created</t>
  </si>
  <si>
    <t>Add contact person</t>
  </si>
  <si>
    <t>1. Click Add Supplier
2. Click Add Contact
3. Enter contact details
4. Save supplier</t>
  </si>
  <si>
    <t>Contact person is successfully 
added to supplier</t>
  </si>
  <si>
    <t>Contact Email format validation</t>
  </si>
  <si>
    <t>Contact Phone number format 
validation</t>
  </si>
  <si>
    <t>View supplier details</t>
  </si>
  <si>
    <t>1. Select existing supplier
2. Click View</t>
  </si>
  <si>
    <t>Supplier information is displayed 
correctly</t>
  </si>
  <si>
    <t>Edit supplier</t>
  </si>
  <si>
    <t>1. Select supplier
2. Click Edit
3. Modify information
4. Save</t>
  </si>
  <si>
    <t>Supplier information is updated
 successfully</t>
  </si>
  <si>
    <t>Delete supplier</t>
  </si>
  <si>
    <t>1. Select supplier
2. Click Delete
3. Confirm deletion</t>
  </si>
  <si>
    <t>Supplier is removed from the list</t>
  </si>
  <si>
    <t>Export suppliers list</t>
  </si>
  <si>
    <t>1. Click Export button</t>
  </si>
  <si>
    <t>Supplier data file downloads 
successfully</t>
  </si>
  <si>
    <t>Export suppliers list with filter</t>
  </si>
  <si>
    <t>1. Select category filter 
2. Click Export button</t>
  </si>
  <si>
    <t>Exports all data even with filters</t>
  </si>
  <si>
    <t>Import suppliers list</t>
  </si>
  <si>
    <t>1. Click Import
2. Upload valid file
3. Submit</t>
  </si>
  <si>
    <t>Suppliers are imported successfully 
into the system</t>
  </si>
  <si>
    <t>System shows error: "Failed to parse file"</t>
  </si>
  <si>
    <t>Search supplier</t>
  </si>
  <si>
    <t>Search non-existing 
supplier</t>
  </si>
  <si>
    <t>1. Enter invalid keyword</t>
  </si>
  <si>
    <t>System displays no results</t>
  </si>
  <si>
    <t>Filter suppliers by 
category</t>
  </si>
  <si>
    <t>1. Select category filter</t>
  </si>
  <si>
    <t>Only suppliers belonging to selected 
category are displayed</t>
  </si>
  <si>
    <t>1. Navigate to Wedding Suppliers
2. Select 10 records per page
3. Verify displayed results
4. Select 25, 50, 100 sequentially</t>
  </si>
  <si>
    <t>System correctly updates displayed 
supplier records according to 
selected pagination</t>
  </si>
  <si>
    <t>Add supplier category</t>
  </si>
  <si>
    <t>1. Navigate to Manage Categories
2. Enter Category Name
3. Click Add</t>
  </si>
  <si>
    <t>Category is successfully added</t>
  </si>
  <si>
    <t>Edit supplier category</t>
  </si>
  <si>
    <t>1. Select category
2. Click Edit
3. Update name
4. Save</t>
  </si>
  <si>
    <t>Category is updated successfully</t>
  </si>
  <si>
    <t>Delete supplier category</t>
  </si>
  <si>
    <t>1. Select category2. Click Delete</t>
  </si>
  <si>
    <t>Category is removed successfully</t>
  </si>
  <si>
    <t>Prevent deletion if
category in use</t>
  </si>
  <si>
    <t>1. Try deleting category assigned to supplier</t>
  </si>
  <si>
    <t>System prevents deletion or 
prompts warning</t>
  </si>
  <si>
    <t>Deletion of category 
also deletes linked wedding supplier record</t>
  </si>
  <si>
    <t>Media</t>
  </si>
  <si>
    <t>Media Library page loads</t>
  </si>
  <si>
    <t>1. Login as Super Admin
2. Navigate to Media Library</t>
  </si>
  <si>
    <t>Media Library page loads successfully</t>
  </si>
  <si>
    <t>Upload media file</t>
  </si>
  <si>
    <t>1. Click Upload Media
2. Select valid file
3. Upload</t>
  </si>
  <si>
    <t>File uploads successfully and 
appears in Media Library</t>
  </si>
  <si>
    <t>Upload multiple media 
files</t>
  </si>
  <si>
    <t>1. Upload multiple files simultaneously</t>
  </si>
  <si>
    <t>All selected files upload successfully</t>
  </si>
  <si>
    <t>Upload unsupported file 
format</t>
  </si>
  <si>
    <t>1. Upload invalid file type</t>
  </si>
  <si>
    <t>System displays file format validation
 error</t>
  </si>
  <si>
    <t>Upload file exceeding
 size limit</t>
  </si>
  <si>
    <t>1. Upload file exceeding system limit</t>
  </si>
  <si>
    <t>System prevents upload and displays 
error message</t>
  </si>
  <si>
    <t>Search media file</t>
  </si>
  <si>
    <t>1. Enter file name in Search field</t>
  </si>
  <si>
    <t>Matching media files are displayed</t>
  </si>
  <si>
    <t>Search non-existing media file</t>
  </si>
  <si>
    <t>Plans- Plan</t>
  </si>
  <si>
    <t>Plans page loads successfully</t>
  </si>
  <si>
    <t>Monthly / Yearly toggle</t>
  </si>
  <si>
    <t>1. Switch Monthly/Yearly toggle</t>
  </si>
  <si>
    <t>Plans display correct pricing based 
on toggle selection</t>
  </si>
  <si>
    <t>Add plan with valid data</t>
  </si>
  <si>
    <t>1. Click Add Plan2. Fill required fields3. Save</t>
  </si>
  <si>
    <t>Plan is successfully created</t>
  </si>
  <si>
    <t>Add plan with missing required 
fields</t>
  </si>
  <si>
    <t>1. Leave required fields blank2. Click Save</t>
  </si>
  <si>
    <t>System displays validation errors</t>
  </si>
  <si>
    <t>Add currency to plan</t>
  </si>
  <si>
    <t>1. Click Add Currency
2. Select currency from dropdown
3. Enter monthly and yearly price</t>
  </si>
  <si>
    <t>Currency pricing is successfully 
added to plan</t>
  </si>
  <si>
    <t>Enable Branding toggle</t>
  </si>
  <si>
    <t>1. Enable Branding toggle while creating plan</t>
  </si>
  <si>
    <t>Branding feature is enabled for 
the plan</t>
  </si>
  <si>
    <t>AI Integration toggle</t>
  </si>
  <si>
    <t>1. Enable AI Integration toggle</t>
  </si>
  <si>
    <t>AI features become enabled for 
the plan</t>
  </si>
  <si>
    <t>Enable Trial toggle</t>
  </si>
  <si>
    <t>1. Enable Trial toggle2. Enter trial days</t>
  </si>
  <si>
    <t>Plan trial configuration saved 
successfully</t>
  </si>
  <si>
    <t>Set default plan</t>
  </si>
  <si>
    <t>1. Enable Default Plan toggle</t>
  </si>
  <si>
    <t>Selected plan becomes system 
default</t>
  </si>
  <si>
    <t>Activate/Deactivate plan</t>
  </si>
  <si>
    <t>1. Toggle Active switch</t>
  </si>
  <si>
    <t>Plan status updates accordingly</t>
  </si>
  <si>
    <t>Edit plan</t>
  </si>
  <si>
    <t>1. Select plan
2. Click Edit
3. Modify details
4. Save</t>
  </si>
  <si>
    <t>Plan details update successfully</t>
  </si>
  <si>
    <t>Delete plan</t>
  </si>
  <si>
    <t>1. Select plan
2. Click Delete
3. Confirm</t>
  </si>
  <si>
    <t>Plan is removed from system</t>
  </si>
  <si>
    <t>Prevent deletion of active 
subscribed plan</t>
  </si>
  <si>
    <t>1. Try deleting plan used by active subscription</t>
  </si>
  <si>
    <t>System prevents deletion or displays
 warning</t>
  </si>
  <si>
    <t>Plans - Plan Request</t>
  </si>
  <si>
    <t>View plan requests</t>
  </si>
  <si>
    <t>1. Navigate to Plan Requests</t>
  </si>
  <si>
    <t>All plan requests are displayed</t>
  </si>
  <si>
    <t>Approve plan request</t>
  </si>
  <si>
    <t>1. Select pending request2. Click Approve</t>
  </si>
  <si>
    <t>Request status changes to Approved</t>
  </si>
  <si>
    <t>Reject plan request</t>
  </si>
  <si>
    <t>1. Select pending request2. Click Reject</t>
  </si>
  <si>
    <t>Request status changes to Rejected</t>
  </si>
  <si>
    <t>Search plan request</t>
  </si>
  <si>
    <t>Matching requests are displayed</t>
  </si>
  <si>
    <t>Filter plan requests by status</t>
  </si>
  <si>
    <t>1. Select status filter</t>
  </si>
  <si>
    <t>Requests are filtered based on 
selected status</t>
  </si>
  <si>
    <t>1. Navigate to Plan Requests
2. Select 10 records per page
3. Verify displayed results
4. Select 25, 50, 100 sequentially</t>
  </si>
  <si>
    <t>Plan - Plan Orders</t>
  </si>
  <si>
    <t>View plan orders</t>
  </si>
  <si>
    <t>1. Navigate to Plan Orders</t>
  </si>
  <si>
    <t>Plan orders list loads successfully</t>
  </si>
  <si>
    <t>Search plan order</t>
  </si>
  <si>
    <t>Matching orders displayed</t>
  </si>
  <si>
    <t>Filter plan orders by status</t>
  </si>
  <si>
    <t>Orders filtered based on selected 
status</t>
  </si>
  <si>
    <t>1. Navigate to Plan Orders
2. Select 10 records per page
3. Verify displayed results
4. Select 25, 50, 100 sequentially</t>
  </si>
  <si>
    <t>Coupons page loads</t>
  </si>
  <si>
    <t>1. Login as Super Admin
2. Navigate to Coupons module</t>
  </si>
  <si>
    <t>Coupons page loads successfully</t>
  </si>
  <si>
    <t>Add coupon with valid data</t>
  </si>
  <si>
    <t>1. Click Add New Coupon
2. Enter required fields
3. Save</t>
  </si>
  <si>
    <t>Coupon is successfully created and 
displayed in list</t>
  </si>
  <si>
    <t>Required field validation</t>
  </si>
  <si>
    <t>1. Leave required fields (Coupon Name, 
Discount Type, Discount Value) empty
2. Click Save</t>
  </si>
  <si>
    <t>System displays validation errors 
for required fields</t>
  </si>
  <si>
    <t>Manual coupon code entry</t>
  </si>
  <si>
    <t>1. Select Manual Code Generation
2. Enter coupon code
3. Save</t>
  </si>
  <si>
    <t>Coupon is created with manually 
entered code</t>
  </si>
  <si>
    <t>Auto generate coupon code</t>
  </si>
  <si>
    <t>1. Select Auto Generate option
2. Save coupon</t>
  </si>
  <si>
    <t>System automatically generates
 coupon code</t>
  </si>
  <si>
    <t>Discount type validation</t>
  </si>
  <si>
    <t>1. Select different Discount Types (e.g., 
Percentage / Fixed)
2. Enter discount value</t>
  </si>
  <si>
    <t>System applies discount type correctly</t>
  </si>
  <si>
    <t>Minimum spend validation</t>
  </si>
  <si>
    <t>1. Set minimum spend amount
2. Save coupon</t>
  </si>
  <si>
    <t>Coupon applies only when minimum 
spend requirement is met</t>
  </si>
  <si>
    <t>Maximum spend validation</t>
  </si>
  <si>
    <t>1. Set maximum spend value2. Save coupon</t>
  </si>
  <si>
    <t>Coupon applies only up to maximum 
spend limit</t>
  </si>
  <si>
    <t>Total usage limit validation</t>
  </si>
  <si>
    <t>1. Set total usage limit
2. Apply coupon multiple times</t>
  </si>
  <si>
    <t>Coupon stops working after usage 
limit is reached</t>
  </si>
  <si>
    <t>Usage limit per user validation</t>
  </si>
  <si>
    <t>1. Set usage limit per user
2. Attempt to reuse coupon with same user</t>
  </si>
  <si>
    <t>Coupon cannot be reused beyond 
allowed limit</t>
  </si>
  <si>
    <t>Expiry date validation</t>
  </si>
  <si>
    <t>1. Set expiry date
2. Attempt to use coupon after expiration</t>
  </si>
  <si>
    <t>System prevents coupon usage 
after expiry date</t>
  </si>
  <si>
    <t>Status toggle</t>
  </si>
  <si>
    <t>1. Toggle coupon status (Active/Inactive)</t>
  </si>
  <si>
    <t>Coupon status updates successfully</t>
  </si>
  <si>
    <t>View coupon details</t>
  </si>
  <si>
    <t>1. Select coupon
2. Click View</t>
  </si>
  <si>
    <t>Coupon details are displayed correctly</t>
  </si>
  <si>
    <t>Edit coupon</t>
  </si>
  <si>
    <t>1. Select coupon
2. Click Edit
3. Modify details
4. Save</t>
  </si>
  <si>
    <t>Coupon details are updated 
successfully</t>
  </si>
  <si>
    <t>Delete coupon</t>
  </si>
  <si>
    <t>1. Select coupon
2. Click Delete
3. Confirm deletion</t>
  </si>
  <si>
    <t>Coupon is removed from the list</t>
  </si>
  <si>
    <t>Search coupon</t>
  </si>
  <si>
    <t>1. Enter coupon name/code in search field</t>
  </si>
  <si>
    <t>Matching coupons are displayed</t>
  </si>
  <si>
    <t>Search non-existing coupon</t>
  </si>
  <si>
    <t>1. Select Status filter (Active/Inactive)</t>
  </si>
  <si>
    <t>Coupons are filtered according to 
selected status</t>
  </si>
  <si>
    <t>Filter by Discount Type</t>
  </si>
  <si>
    <t>1. Select Discount Type filter</t>
  </si>
  <si>
    <t>Coupons are filtered according to 
selected discount type</t>
  </si>
  <si>
    <t>1. Navigate to Coupons
2. Select 10 records per page
3. Verify displayed results
4. Select 25, 50, 100 sequentially</t>
  </si>
  <si>
    <t>Currencies page loads</t>
  </si>
  <si>
    <t>1. Login as Super Admin
2. Navigate to Currencies module</t>
  </si>
  <si>
    <t>Currencies page loads successfully</t>
  </si>
  <si>
    <t>Add new currency with valid data</t>
  </si>
  <si>
    <t>1. Click Add New Currency
2. Enter Currency Name
3. Enter Currency Code
4. Enter Currency Symbol
5. Save</t>
  </si>
  <si>
    <t>Currency is successfully created 
and appears in list</t>
  </si>
  <si>
    <t>1. Leave required fields empty
2. Click Save</t>
  </si>
  <si>
    <t>System displays validation error
 for required fields</t>
  </si>
  <si>
    <t>Currency code validation</t>
  </si>
  <si>
    <t>1. Enter invalid currency code format
2. Save</t>
  </si>
  <si>
    <t>Set default currency</t>
  </si>
  <si>
    <t>1. Check Set as Default Currency
2. Save</t>
  </si>
  <si>
    <t>Selected currency becomes
 system default</t>
  </si>
  <si>
    <t>Prevent multiple default 
currencies</t>
  </si>
  <si>
    <t>1. Set another currency as default</t>
  </si>
  <si>
    <t>Previous default currency is 
automatically removed or replaced</t>
  </si>
  <si>
    <t>Edit currency</t>
  </si>
  <si>
    <t>1. Select existing currency
2. Click Edit
3. Modify details
4. Save</t>
  </si>
  <si>
    <t>Currency details update successfully</t>
  </si>
  <si>
    <t>Delete currency</t>
  </si>
  <si>
    <t>1. Select currency
2. Click Delete
3. Confirm deletion</t>
  </si>
  <si>
    <t>Currency is removed from system</t>
  </si>
  <si>
    <t>Prevent deletion of default 
currency</t>
  </si>
  <si>
    <t>1. Attempt to delete default currency</t>
  </si>
  <si>
    <t>System prevents deletion or prompts 
warning</t>
  </si>
  <si>
    <t>Search currency</t>
  </si>
  <si>
    <t>1. Enter currency name/code in Search field</t>
  </si>
  <si>
    <t>Matching currency records are 
displayed</t>
  </si>
  <si>
    <t>1. Navigate to Currencies
2. Select 10 records per page
3. Verify displayed results
4. Select 25, 50, 100 sequentially</t>
  </si>
  <si>
    <t>Referral Dashboard loads</t>
  </si>
  <si>
    <t>1. Navigate to Referral Program → Dashboard</t>
  </si>
  <si>
    <t>Display total referrals</t>
  </si>
  <si>
    <t>1. View Total Referrals widget</t>
  </si>
  <si>
    <t>Correct total referrals count 
displayed</t>
  </si>
  <si>
    <t>Display pending payouts</t>
  </si>
  <si>
    <t>1. View Pending Payouts widget</t>
  </si>
  <si>
    <t>Correct pending payout value 
displayed</t>
  </si>
  <si>
    <t>Display total commission paid</t>
  </si>
  <si>
    <t>1. View Total Commission Paid widget</t>
  </si>
  <si>
    <t>Correct commission paid value 
displayed</t>
  </si>
  <si>
    <t>Display active companies</t>
  </si>
  <si>
    <t>1. View Active Companies widget</t>
  </si>
  <si>
    <t>Correct number of active companies 
displayed</t>
  </si>
  <si>
    <t>Top referring companies display</t>
  </si>
  <si>
    <t>1. View Top Referring Companies section</t>
  </si>
  <si>
    <t>Companies ranked correctly based 
on referrals</t>
  </si>
  <si>
    <t>Monthly performance display</t>
  </si>
  <si>
    <t xml:space="preserve">1. View Monthly Performance </t>
  </si>
  <si>
    <t>Correct number of referred users and 
payouts processed displayed</t>
  </si>
  <si>
    <t>Payout requests display</t>
  </si>
  <si>
    <t>1. View Payout Requests section</t>
  </si>
  <si>
    <t>Payout requests are displayed correctly</t>
  </si>
  <si>
    <t>Referred Users page loads</t>
  </si>
  <si>
    <t>Referred users list loads successfully</t>
  </si>
  <si>
    <t>Display total referred users</t>
  </si>
  <si>
    <t>1. View Total Referred Users widget</t>
  </si>
  <si>
    <t>Correct number of referred users
 displayed</t>
  </si>
  <si>
    <t>Display users with plans</t>
  </si>
  <si>
    <t>1. View Users With Plans widget</t>
  </si>
  <si>
    <t>Correct number of users with active 
plans displayed</t>
  </si>
  <si>
    <t>Display total commission earned</t>
  </si>
  <si>
    <t>1. View Total Commission Earned widget</t>
  </si>
  <si>
    <t>Commission value displayed correctly</t>
  </si>
  <si>
    <t>View referred users list</t>
  </si>
  <si>
    <t>1. Check referred users table</t>
  </si>
  <si>
    <t>List displays all referred users correctly</t>
  </si>
  <si>
    <t>View payout request details</t>
  </si>
  <si>
    <t>1. Select payout request</t>
  </si>
  <si>
    <t>Details of payout request displayed 
correctly</t>
  </si>
  <si>
    <t>Enable referral program</t>
  </si>
  <si>
    <t>1. Navigate to Payout Requests
2. Enable Referral Program toggle
3. Save</t>
  </si>
  <si>
    <t>Referral program becomes active</t>
  </si>
  <si>
    <t>Disable referral program</t>
  </si>
  <si>
    <t>1. Disable Referral Program toggle</t>
  </si>
  <si>
    <t>Referral program becomes inactive</t>
  </si>
  <si>
    <t>Commission percentage 
validation</t>
  </si>
  <si>
    <t>1. Enter commission percentage
2. Save</t>
  </si>
  <si>
    <t>Commission percentage saved 
successfully</t>
  </si>
  <si>
    <t>Minimum threshold validation</t>
  </si>
  <si>
    <t>1. Enter minimum threshold amount
2. Save</t>
  </si>
  <si>
    <t>System accepts valid threshold amount</t>
  </si>
  <si>
    <t>Referral guidelines update</t>
  </si>
  <si>
    <t>1. Edit referral guidelines text
2. Save</t>
  </si>
  <si>
    <t>Updated guidelines saved successfully</t>
  </si>
  <si>
    <t>Landing Page - Landing Page</t>
  </si>
  <si>
    <t>Landing Page settings page loads</t>
  </si>
  <si>
    <t>1. Login as Super Admin
2. Navigate to Landing Page → Settings</t>
  </si>
  <si>
    <t>Landing Page settings load successfully</t>
  </si>
  <si>
    <t>Update General settings</t>
  </si>
  <si>
    <t>1. Enter Company Name
2. Enter Contact Email, Phone, Address
3. Update Theme Colors
4. Save</t>
  </si>
  <si>
    <t>General settings saved successfully 
and preview updates</t>
  </si>
  <si>
    <t>Contact information preview</t>
  </si>
  <si>
    <t>1. Update contact information
2. Observe preview section</t>
  </si>
  <si>
    <t>Contact preview updates correctly</t>
  </si>
  <si>
    <t>Section order toggle</t>
  </si>
  <si>
    <t>1. Navigate to Setup -&gt; Order
2. Enable/Disable sections in Order list</t>
  </si>
  <si>
    <t>Landing page sections show/hide 
according to toggle settings</t>
  </si>
  <si>
    <t>Disable all sections</t>
  </si>
  <si>
    <t>1. Disable all toggles
2. Save</t>
  </si>
  <si>
    <t>Page handles empty state gracefully</t>
  </si>
  <si>
    <t>Rapid toggle switching</t>
  </si>
  <si>
    <t>1. Toggle sections repeatedly
2. Save</t>
  </si>
  <si>
    <t>No UI glitch or crash</t>
  </si>
  <si>
    <t>SEO settings validation</t>
  </si>
  <si>
    <t>1. Navigate to Setup -&gt; Advanced
2. Enter Meta Title and Meta Description
3. Save</t>
  </si>
  <si>
    <t>SEO settings saved successfully</t>
  </si>
  <si>
    <t>SEO empty fields</t>
  </si>
  <si>
    <t>Leave meta fields blank</t>
  </si>
  <si>
    <t>Default or validation shown</t>
  </si>
  <si>
    <t>SEO special characters</t>
  </si>
  <si>
    <t>Enter symbols/emojis</t>
  </si>
  <si>
    <t>Proper encoding without breaking</t>
  </si>
  <si>
    <t>Header layout configuration</t>
  </si>
  <si>
    <t>1. Navigate to Layout -&gt; Header
2. Enable/Disable Header Section
3. Toggle Transparent Header
4. Modify background and text color
5. Save</t>
  </si>
  <si>
    <t>Header updates correctly in preview</t>
  </si>
  <si>
    <t>Header disabled</t>
  </si>
  <si>
    <t>Disable header section</t>
  </si>
  <si>
    <t>Header hidden from preview</t>
  </si>
  <si>
    <t>Hero section configuration</t>
  </si>
  <si>
    <t>1. Navigate to Layout -&gt; Hero
2.Enable Hero section
3. Select layout style
4. Add title, subtitle, buttons
5. Upload hero image
6. Save</t>
  </si>
  <si>
    <t>Hero section appears correctly in 
preview</t>
  </si>
  <si>
    <t>Hero image invalid upload</t>
  </si>
  <si>
    <t>Upload unsupported file</t>
  </si>
  <si>
    <t>Upload rejected with error</t>
  </si>
  <si>
    <t>Footer configuration</t>
  </si>
  <si>
    <t>1. Navigate to Layout -&gt; Footer
2.Add company description
3. Add newsletter title/subtitle
4. Add social links and footer links
5. Save</t>
  </si>
  <si>
    <t>Footer section updates correctly</t>
  </si>
  <si>
    <t>Add feature box</t>
  </si>
  <si>
    <t>1. Navigate to  Content → Features
2. Click Add Feature Box
3. Enter Title, Icon, Description
4. Click Save</t>
  </si>
  <si>
    <t>Feature box appears correctly on 
landing page</t>
  </si>
  <si>
    <t>Edit feature box</t>
  </si>
  <si>
    <t>Modify existing feature</t>
  </si>
  <si>
    <t>Delete feature box</t>
  </si>
  <si>
    <t>Delete feature</t>
  </si>
  <si>
    <t>Feature removed successfully</t>
  </si>
  <si>
    <t>Add screenshot</t>
  </si>
  <si>
    <t>1. Navigate to Content → Screenshots
2. Click Add Screenshot
3. Upload screenshot image
4. Enter Title, Alt Text, Description
5. Save</t>
  </si>
  <si>
    <t>Screenshot section displays correctly</t>
  </si>
  <si>
    <t>Screenshot invalid format</t>
  </si>
  <si>
    <t>Upload invalid file</t>
  </si>
  <si>
    <t>Error displayed</t>
  </si>
  <si>
    <t>No error validation shown, invalid file types
can be saved</t>
  </si>
  <si>
    <t>Add reason and statistics</t>
  </si>
  <si>
    <t>1. Navigate to  Content → Why Us
2. Click Add Reason
3. Enter Title, Icon, Description
4. Add Statistics Section
5. Click Save</t>
  </si>
  <si>
    <t>Reasons and statistics appear correctly</t>
  </si>
  <si>
    <t>Configure About section</t>
  </si>
  <si>
    <t>1. Navigate to Content → About
2. Enter About Title and Description
3. Upload About Image
4. Add Company Values or Statistics
5. Save</t>
  </si>
  <si>
    <t>About section appears correctly on 
landing page</t>
  </si>
  <si>
    <t>1. Navigate to Social → Team
2. Click Add Team Member
3. Enter Name, Role, Bio
4. Upload Profile Image
5. Save</t>
  </si>
  <si>
    <t>Team member appears correctly in 
team section</t>
  </si>
  <si>
    <t>Team member image invalid 
upload</t>
  </si>
  <si>
    <t>Display reviews and plans section</t>
  </si>
  <si>
    <t>1. Enable Reviews and Plans sections
2. Save</t>
  </si>
  <si>
    <t>Sections appear correctly on landing 
page</t>
  </si>
  <si>
    <t>Configure FAQ section content</t>
  </si>
  <si>
    <t>1. Navigate to Engagement → FAQ
2. Enter Section Title
3. Enter Section Subtitle
4. Enter CTA Text
5. Enter Button Text
6. Click Save</t>
  </si>
  <si>
    <t>FAQ section content is saved 
successfully and appears correctly in 
preview</t>
  </si>
  <si>
    <t>Add FAQ item</t>
  </si>
  <si>
    <t>1.Click Add FAQs
2. Enter Question and Answer
3. Click Save</t>
  </si>
  <si>
    <t>New FAQ item appears correctly in 
the FAQ section</t>
  </si>
  <si>
    <t>Delete FAQ item</t>
  </si>
  <si>
    <t>1.. Click Delete on an existing FAQ
2. Confirm deletion</t>
  </si>
  <si>
    <t>Selected FAQ item is removed 
successfully</t>
  </si>
  <si>
    <t>Configure Newsletter section</t>
  </si>
  <si>
    <t>1. Navigate to Engagement → Newsletter
2. Enter Section Title
3. Enter Section Subtitle
4. Enter Privacy Text
5. Click Save</t>
  </si>
  <si>
    <t>Newsletter section information is 
saved successfully</t>
  </si>
  <si>
    <t>Add Newsletter Benefit</t>
  </si>
  <si>
    <t>1. Click Add Newsletter Benefit
2. Enter Icon (Emoji), Title, and Description
3. Save</t>
  </si>
  <si>
    <t>Newsletter benefit is added and 
displayed correctly</t>
  </si>
  <si>
    <t>Delete Newsletter Benefit</t>
  </si>
  <si>
    <t>1. Click Delete on an existing benefit
2. Confirm deletion</t>
  </si>
  <si>
    <t>Newsletter benefit is removed 
successfully</t>
  </si>
  <si>
    <t>Configure Contact section details</t>
  </si>
  <si>
    <t>1. Navigate to Engagement → Contact
2. Enter Section Title and Section Subtitle
3. Enter Form Title4. Enter Contact Info Title 
and Description
5. Enter Email Address, Phone Number, Address
6. Click Save</t>
  </si>
  <si>
    <t>Contact section details are saved 
successfully</t>
  </si>
  <si>
    <t>Add Contact FAQ</t>
  </si>
  <si>
    <t>1.  Click Add Contact FAQs
2. Enter Question and Answer
3. Click Save</t>
  </si>
  <si>
    <t>Contact FAQ appears correctly in the 
contact section</t>
  </si>
  <si>
    <t>Delete Contact FAQ</t>
  </si>
  <si>
    <t>1. . Click Delete on existing Contact FAQ
2. Confirm deletion</t>
  </si>
  <si>
    <t>Contact FAQ is removed successfully</t>
  </si>
  <si>
    <t>Setup progress indicator</t>
  </si>
  <si>
    <t>1. Configure landing page sections</t>
  </si>
  <si>
    <t>Setup progress percentage updates 
correctly</t>
  </si>
  <si>
    <t>Live preview</t>
  </si>
  <si>
    <t>1. Modify any section
2. Observe preview</t>
  </si>
  <si>
    <t>Live preview reflects changes 
immediately</t>
  </si>
  <si>
    <t>Color scheme preview</t>
  </si>
  <si>
    <t>1. Change theme colors</t>
  </si>
  <si>
    <t>Preview updates color scheme correctly</t>
  </si>
  <si>
    <t>Unsaved changes handling</t>
  </si>
  <si>
    <t>1. Modify → Navigate away</t>
  </si>
  <si>
    <t>Warning prompt shown</t>
  </si>
  <si>
    <t>Landing Page - Custom Pages</t>
  </si>
  <si>
    <t>Custom Pages page loads</t>
  </si>
  <si>
    <t>1. Navigate to Landing Page → Custom Pages</t>
  </si>
  <si>
    <t>Custom Pages page loads 
successfully with list of sent contact 
messages</t>
  </si>
  <si>
    <t>Add custom page</t>
  </si>
  <si>
    <t>1. Click Add Page
2. Enter title, content, SEO meta
3. Save</t>
  </si>
  <si>
    <t>Custom page created successfully</t>
  </si>
  <si>
    <t>Verify new page visibility</t>
  </si>
  <si>
    <t>1. Login as Super Admin
2. Navigate to Landing Page → Custom Pages
3. Add a new page and click Save
4. Open the Landing Page (public view)
5. Locate the newly created page</t>
  </si>
  <si>
    <t>Newly created page should be visible and 
accessible on the landing page (e.g., via 
navigation menu or direct URL)</t>
  </si>
  <si>
    <t>Edit custom page</t>
  </si>
  <si>
    <t>1. Select page
2. Modify content
3. Save</t>
  </si>
  <si>
    <t>Page updates successfully</t>
  </si>
  <si>
    <t>Enable custom page</t>
  </si>
  <si>
    <t>1. Select disabled page 
2. Toggle Enable ON</t>
  </si>
  <si>
    <t>Page becomes active and visible on 
landing site</t>
  </si>
  <si>
    <t>Disable custom page</t>
  </si>
  <si>
    <t>1. Select active page 
2. Toggle Enable OFF</t>
  </si>
  <si>
    <t>Page becomes inactive and hidden 
from landing site</t>
  </si>
  <si>
    <t>Direct URL access for 
disabled page</t>
  </si>
  <si>
    <t>1. Disable page → Access via URL</t>
  </si>
  <si>
    <t>Access blocked or redirected (e.g., 
404/hidden)</t>
  </si>
  <si>
    <t>Toggle persistence after refresh</t>
  </si>
  <si>
    <t>Enable/Disable page → Refresh page</t>
  </si>
  <si>
    <t>State (enabled/disabled) persists 
correctly</t>
  </si>
  <si>
    <t>Toggle multiple pages</t>
  </si>
  <si>
    <t>Enable/Disable multiple pages</t>
  </si>
  <si>
    <t>All states update correctly without 
conflict</t>
  </si>
  <si>
    <t>Empty page title validation</t>
  </si>
  <si>
    <t>Leave title blank → Save</t>
  </si>
  <si>
    <t>Duplicate page title</t>
  </si>
  <si>
    <t>Create page with existing title</t>
  </si>
  <si>
    <t>Proper validation or allowed with 
uniqueness handling</t>
  </si>
  <si>
    <t>No proper error handlig</t>
  </si>
  <si>
    <t>(PASSED) 03/24/26</t>
  </si>
  <si>
    <t>Long title/content</t>
  </si>
  <si>
    <t>Enter very long text</t>
  </si>
  <si>
    <t>System handles without breaking UI</t>
  </si>
  <si>
    <t>Delete custom page</t>
  </si>
  <si>
    <t>1. Select page
2. Click Delete</t>
  </si>
  <si>
    <t>Page removed successfully</t>
  </si>
  <si>
    <t>Delete confirmation validation</t>
  </si>
  <si>
    <t>Click delete → Cancel</t>
  </si>
  <si>
    <t>Page is not deleted</t>
  </si>
  <si>
    <t>Search custom page</t>
  </si>
  <si>
    <t>1. Enter page title in search field</t>
  </si>
  <si>
    <t>Matching page results displayed</t>
  </si>
  <si>
    <t>Enter non-existing title</t>
  </si>
  <si>
    <t>“No results found” message displayed</t>
  </si>
  <si>
    <t>Pagination (10, 25, 50, 100)</t>
  </si>
  <si>
    <t>1. Change pagination option</t>
  </si>
  <si>
    <t>Records display according to selected
 pagination</t>
  </si>
  <si>
    <t>Landing Page - Contact Messages</t>
  </si>
  <si>
    <t>Contact Messages page loads</t>
  </si>
  <si>
    <t>1. Navigate to Landing Page → Contact Messages</t>
  </si>
  <si>
    <t>Contact Message page loads 
successfully with list of sent contact 
messages</t>
  </si>
  <si>
    <t>View contact message</t>
  </si>
  <si>
    <t>1. Select a message from the list
2. Open/View the message details</t>
  </si>
  <si>
    <t>Selected contact message details are 
displayed correctly</t>
  </si>
  <si>
    <t>Delete contact message</t>
  </si>
  <si>
    <t xml:space="preserve">
1. Select a message
2. Click Delete
3. Confirm deletion</t>
  </si>
  <si>
    <t>Contact message is removed 
successfully from the list</t>
  </si>
  <si>
    <t>Search contact messages</t>
  </si>
  <si>
    <t>Matching messages displayed</t>
  </si>
  <si>
    <t>1. Select pagination option</t>
  </si>
  <si>
    <t>Messages display according to selected 
limit</t>
  </si>
  <si>
    <t>Landing Page - Newsletters</t>
  </si>
  <si>
    <t>Newsletters page loads</t>
  </si>
  <si>
    <t>1. Navigate to Landing Page → Newsletters</t>
  </si>
  <si>
    <t>Newletter page loads 
successfully with list of newsletter 
subscribers</t>
  </si>
  <si>
    <t>Delete newsletter subscriber</t>
  </si>
  <si>
    <t>1.Select subscriber
2. Click Delete
3. Confirm deletion</t>
  </si>
  <si>
    <t>Selected subscriber is removed from 
the list</t>
  </si>
  <si>
    <t>1. Enter keyword in search field</t>
  </si>
  <si>
    <t>Email Templates page loads</t>
  </si>
  <si>
    <t>1. Login as Super Admin
2. Navigate to Email Templates</t>
  </si>
  <si>
    <t>Email Templates page loads 
successfully with list of templates</t>
  </si>
  <si>
    <t>View email template details</t>
  </si>
  <si>
    <t>1. Navigate to Email Templates
2. Select a template from the list
3. Click View</t>
  </si>
  <si>
    <t>Template details page opens displaying 
Template Settings, Email Content, and
 Variables</t>
  </si>
  <si>
    <t>Update template settings</t>
  </si>
  <si>
    <t>1. Navigate to Email Templates → View Template
2. Go to Template Setting section
3. Modify From Name
4. Click Save Changes</t>
  </si>
  <si>
    <t>Template settings are saved 
successfully</t>
  </si>
  <si>
    <t>Prevent editing template name</t>
  </si>
  <si>
    <t>1. Navigate to Email Templates → View Template
2. Attempt to modify Template Name</t>
  </si>
  <si>
    <t>System prevents editing of Template 
Name field</t>
  </si>
  <si>
    <t>Update email content for 
selected language</t>
  </si>
  <si>
    <t>1. Navigate to Email Templates → View Template 
→ Email Content
2. Select a Language from the language selector
3. Update Email Subject and Email Content
4. Save changes</t>
  </si>
  <si>
    <t>Email subject and content are saved 
successfully for selected language</t>
  </si>
  <si>
    <t>Insert available variables into 
email content</t>
  </si>
  <si>
    <t>1. Navigate to Email Templates → View Template
2. Click a variable from Available Variables list
3. Paste into Email Content editor
4. Save</t>
  </si>
  <si>
    <t>Variable is inserted correctly into email 
template content</t>
  </si>
  <si>
    <t>Search email template</t>
  </si>
  <si>
    <t>1. Navigate to Email Templates
2. Enter template name in Search field</t>
  </si>
  <si>
    <t>Matching email templates are displayed</t>
  </si>
  <si>
    <t>1. Navigate to Email Templates
2. Change pagination to 10, 25, 50, 100 
sequentially3. Observe displayed records</t>
  </si>
  <si>
    <t>System displays correct number of 
templates according to selected 
pagination</t>
  </si>
  <si>
    <t>Update system language</t>
  </si>
  <si>
    <t>1. Navigate to Settings → System Settings 
section
2. Select Language
3. Click Save Changes</t>
  </si>
  <si>
    <t>Language is updated successfully</t>
  </si>
  <si>
    <t>Change date and time format</t>
  </si>
  <si>
    <t>1. Navigate to Settings → System Settings 
section
2. Select Date Format and Time Format
3. Save changes</t>
  </si>
  <si>
    <t>Date and time format updates across 
system</t>
  </si>
  <si>
    <t>Update default timezone</t>
  </si>
  <si>
    <t>1. Navigate to Settings → System Settings 
section
2. Select Default Timezone
3. Click Save Changes</t>
  </si>
  <si>
    <t>Timezone is updated successfully</t>
  </si>
  <si>
    <t>Toggle email verification</t>
  </si>
  <si>
    <t>1. Navigate to Settings → System Settings 
section
2. Toggle Email Verification ON/OFF
3. Save changes</t>
  </si>
  <si>
    <t>Email verification setting updates 
successfully</t>
  </si>
  <si>
    <t>Toggle landing page visibility</t>
  </si>
  <si>
    <t>1. Navigate to Settings → System Settings 
section
2. Toggle Landing Page ON/OFF
3. Save changes</t>
  </si>
  <si>
    <t>Landing page availability updates 
successfully</t>
  </si>
  <si>
    <t>Update Terms &amp; Conditions URL</t>
  </si>
  <si>
    <t>1. Navigate to Settings → System Settings 
section
2. Enter Terms &amp; Conditions URL
3. Click Save Changes</t>
  </si>
  <si>
    <t>URL is saved successfully</t>
  </si>
  <si>
    <t>Upload brand logos</t>
  </si>
  <si>
    <t>1. Navigate to Settings → Brand Settings section
2. Upload Logo Dark, Logo Light
3. Click Save Changes</t>
  </si>
  <si>
    <t>Logos upload and save successfully</t>
  </si>
  <si>
    <t>Upload favicon in Super Admin</t>
  </si>
  <si>
    <t>1. Login as Super Admin 
2. Go to Brand Settings 
3. Upload favicon 
4. Save</t>
  </si>
  <si>
    <t>Favicon saved successfully</t>
  </si>
  <si>
    <t>Favicon displayed in company 
interface</t>
  </si>
  <si>
    <t>1. Login as Company User 
2. Open Dashboard</t>
  </si>
  <si>
    <t>Browser tab shows updated favicon</t>
  </si>
  <si>
    <t>Favicon not updated for company users</t>
  </si>
  <si>
    <t>Favicon reflected across 
modules</t>
  </si>
  <si>
    <t>1. Navigate across modules
(Leads, Accounts, Projects etc.)</t>
  </si>
  <si>
    <t>Same favicon displayed on all pages</t>
  </si>
  <si>
    <t>Favicon after logout/login</t>
  </si>
  <si>
    <t>1. Logout 
2. Login again as company user</t>
  </si>
  <si>
    <t>Updated favicon still visible</t>
  </si>
  <si>
    <t>Favicon after browser refresh</t>
  </si>
  <si>
    <t>1. Refresh page</t>
  </si>
  <si>
    <t>Favicon remains visible</t>
  </si>
  <si>
    <t>Favicon update replacement</t>
  </si>
  <si>
    <t>1. Upload new favicon 
2. Save</t>
  </si>
  <si>
    <t>New favicon replaces old favicon 
across UI</t>
  </si>
  <si>
    <t>Update title and footer text</t>
  </si>
  <si>
    <t>1. Navigate to Settings → Brand Settings section
2. Enter Title Text and Footer Text
3. Save changes</t>
  </si>
  <si>
    <t>Text updates successfully</t>
  </si>
  <si>
    <t>Modify theme color</t>
  </si>
  <si>
    <t>1. Navigate to Settings → Brand Settings → 
Theme
2. Select Theme Color
3. Observe Live Preview
4. Save changes</t>
  </si>
  <si>
    <t>Theme color updates and preview 
reflects change</t>
  </si>
  <si>
    <t>Change sidebar variant</t>
  </si>
  <si>
    <t>1. Navigate to Settings → Brand Settings → 
Theme
2. Select Sidebar Variant (Inset/Floating/Minimal)
3. Save changes</t>
  </si>
  <si>
    <t>Sidebar layout updates successfully</t>
  </si>
  <si>
    <t>Change sidebar style</t>
  </si>
  <si>
    <t>1. Navigate to Settings → Brand Settings → 
Theme
2. Select Sidebar Style (Plain/Colored/Gradient)
3. Save changes</t>
  </si>
  <si>
    <t>Sidebar style updates successfully</t>
  </si>
  <si>
    <t>Change layout direction</t>
  </si>
  <si>
    <t>1. Navigate to Settings → Brand Settings → 
Theme
2. Select Layout Direction (LTR/RTL)
3. Save changes</t>
  </si>
  <si>
    <t>Layout direction updates successfully</t>
  </si>
  <si>
    <t>Change theme mode</t>
  </si>
  <si>
    <t>1. Navigate to Settings → Brand Settings → 
Theme
2. Select Theme Mode (Light/Dark/System)
3. Save changes</t>
  </si>
  <si>
    <t>Theme mode updates successfully</t>
  </si>
  <si>
    <t>Configure currency format</t>
  </si>
  <si>
    <t>1. Navigate to Settings → Currency Settings 
section
2. Select Format Options
3. Save changes</t>
  </si>
  <si>
    <t>Currency format updates successfully</t>
  </si>
  <si>
    <t>Change default currency</t>
  </si>
  <si>
    <t>1. Navigate to Settings → Currency Settings
 section
2. Select Default Currency
3. Save changes</t>
  </si>
  <si>
    <t>Default currency updates successfully</t>
  </si>
  <si>
    <t>Configure decimal formatting</t>
  </si>
  <si>
    <t>1. Navigate to Settings → Currency Settings 
section
2. Set Decimal Places, Decimal Separator, 
Thousands Separator
3. Save changes</t>
  </si>
  <si>
    <t>Decimal formatting updates successfully</t>
  </si>
  <si>
    <t>Toggle decimal display</t>
  </si>
  <si>
    <t>1. Navigate to Settings → Currency Settings 
section
2. Toggle Show Decimal ON/OFF
3. Save changes</t>
  </si>
  <si>
    <t>Decimal display setting updates 
successfully</t>
  </si>
  <si>
    <t>Toggle spacing between amount 
and symbol</t>
  </si>
  <si>
    <t>1. Navigate to Settings → Currency Settings 
section
2. Toggle Add Space Between Amount and 
Symbol
3. Save changes</t>
  </si>
  <si>
    <t>Currency spacing format updates 
successfully</t>
  </si>
  <si>
    <t>Configure SMTP email settings</t>
  </si>
  <si>
    <t>1. Navigate to Settings → Email Settings 
section
2. Enter SMTP Host, Port, Username, 
Password, Encryption
3. Click Save Changes</t>
  </si>
  <si>
    <t>SMTP configuration saves successfully</t>
  </si>
  <si>
    <t>Send test email</t>
  </si>
  <si>
    <t>1. Navigate to Settings → Email Settings 
section
2. Click Test Email Configuration</t>
  </si>
  <si>
    <t>Test email sends successfully</t>
  </si>
  <si>
    <t>Update sender details</t>
  </si>
  <si>
    <t>1. Navigate to Settings → Email Settings 
section
2. Modify From Address and From Name
3. Save changes</t>
  </si>
  <si>
    <t>Sender details update successfully</t>
  </si>
  <si>
    <t>Search payment method</t>
  </si>
  <si>
    <t>1. Navigate to Settings → Payment Settings 
section
2. Enter keyword in Search Payment Methods</t>
  </si>
  <si>
    <t>Matching payment methods display</t>
  </si>
  <si>
    <t>Filter payment methods</t>
  </si>
  <si>
    <t>1. Navigate to Settings → Payment Settings 
section
2. Apply filter (All / Enabled / Disabled)</t>
  </si>
  <si>
    <t>Filtered payment methods display 
correctly</t>
  </si>
  <si>
    <t>Enable or disable payment 
method</t>
  </si>
  <si>
    <t>1. Navigate to Settings → Payment Settings 
section
2. Toggle payment method ON/OFF
3. Click Save Changes</t>
  </si>
  <si>
    <t>Payment method status updates 
successfully</t>
  </si>
  <si>
    <t>Configure Google ReCaptcha</t>
  </si>
  <si>
    <t>1. Navigate to Settings → ReCaptcha Settings 
section
2. Toggle Enable ReCaptcha
3. Select Version (v2/v3)4. Enter Site Key and 
Secret Key
5. Save changes</t>
  </si>
  <si>
    <t>ReCaptcha settings save successfully</t>
  </si>
  <si>
    <t>Configure ChatGPT integration</t>
  </si>
  <si>
    <t>1. Navigate to Settings → ChatGPT Settings 
section
2. Enter ChatGPT Key and Model Name
3. Save changes</t>
  </si>
  <si>
    <t>ChatGPT configuration saves 
successfully</t>
  </si>
  <si>
    <t>Configure cookie consent settings</t>
  </si>
  <si>
    <t>1. Navigate to Settings → Cookie Settings 
section
2. Toggle cookie options and update descriptions
3. Save changes</t>
  </si>
  <si>
    <t>Cookie settings update successfully</t>
  </si>
  <si>
    <t>Download accepted cookies 
report</t>
  </si>
  <si>
    <t>1. Navigate to Settings → Cookie Settings 
section
2. Click Download Accepted Cookies CSV</t>
  </si>
  <si>
    <t>CSV file downloads successfully</t>
  </si>
  <si>
    <t>Update SEO metadata</t>
  </si>
  <si>
    <t>1. Navigate to Settings → SEO Settings section
2. Enter Meta Keywords and Meta Description
3. Upload Meta Image4. Click Save Changes</t>
  </si>
  <si>
    <t>SEO settings save successfully</t>
  </si>
  <si>
    <t>Saved SEO fields persist after 
refresh</t>
  </si>
  <si>
    <t>1. Enter SEO data 
2. Save 
3. Refresh page</t>
  </si>
  <si>
    <t>Saved values remain displayed after 
refresh</t>
  </si>
  <si>
    <t>Saved SEO fields persist after 
logout/login</t>
  </si>
  <si>
    <t>1. Enter SEO data 
2. Save 
3. Logout
4. Login 
5. Return to SEO Settings</t>
  </si>
  <si>
    <t>Saved values remain intact after relogin</t>
  </si>
  <si>
    <t>Required field validation for 
Meta Keywords</t>
  </si>
  <si>
    <t>1. Clear Keywords 
2. Click Save</t>
  </si>
  <si>
    <t>Proper validation message appears 
if field is required, if applicable</t>
  </si>
  <si>
    <t>Required field validation for 
Meta Description</t>
  </si>
  <si>
    <t>1. Clear Meta Description 
2. Click Save</t>
  </si>
  <si>
    <t>Proper validation message appears 
if field is required</t>
  </si>
  <si>
    <t>Character limit enforced for 
Meta Description</t>
  </si>
  <si>
    <t>1. Enter text beyond allowed limit 
2. Save</t>
  </si>
  <si>
    <t>System enforces character limit or 
shows validation message</t>
  </si>
  <si>
    <t>Empty field handling</t>
  </si>
  <si>
    <t>1. Leave one or more SEO fields empty 
2. Save</t>
  </si>
  <si>
    <t>System either allows save with safe 
fallback or shows validation</t>
  </si>
  <si>
    <t>Boundary test for very long 
Meta Description</t>
  </si>
  <si>
    <t>1. Enter Meta Description longer than 160
2. Save</t>
  </si>
  <si>
    <t>System does not allow description 
exceeding 160 characters</t>
  </si>
  <si>
    <t>Save without changes</t>
  </si>
  <si>
    <t>1. Open SEO Settings 
2. Click Save without editing</t>
  </si>
  <si>
    <t>System behaves correctly and does 
not corrupt existing data</t>
  </si>
  <si>
    <t>Cancel/back navigation 
without save</t>
  </si>
  <si>
    <t>1. Edit SEO fields 
2. Navigate away without saving</t>
  </si>
  <si>
    <t>Unsaved changes are discarded</t>
  </si>
  <si>
    <t>Configure local storage</t>
  </si>
  <si>
    <t>1. Navigate to Settings → Storage Settings → 
Local Storage
2. Select allowed file types
3. Set Max Upload Size
4. Save changes</t>
  </si>
  <si>
    <t>Local storage settings save successfully</t>
  </si>
  <si>
    <t>Configure AWS S3 storage</t>
  </si>
  <si>
    <t>1. Navigate to Settings → Storage Settings → 
AWS S3
2. Enter AWS credentials and bucket information
3. Save changes</t>
  </si>
  <si>
    <t>AWS configuration saves successfully</t>
  </si>
  <si>
    <t>Configure Wasabi storage</t>
  </si>
  <si>
    <t>1. Navigate to Settings → Storage Settings → 
Wasabi
2. Enter Wasabi credentials
3. Save changes</t>
  </si>
  <si>
    <t>Wasabi configuration saves successfully</t>
  </si>
  <si>
    <t>Clear system cache</t>
  </si>
  <si>
    <t>1. Navigate to Settings → Cache Settings 
section
2. Click Delete Cache</t>
  </si>
  <si>
    <t>System cache clears successfully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</si>
</sst>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32">
    <font>
      <sz val="10.0"/>
      <color rgb="FF000000"/>
      <name val="Arial"/>
      <scheme val="minor"/>
    </font>
    <font>
      <color theme="1"/>
      <name val="Calibri"/>
    </font>
    <font>
      <b/>
      <sz val="14.0"/>
      <color rgb="FFFFFFFF"/>
      <name val="Calibri"/>
    </font>
    <font>
      <b/>
      <sz val="16.0"/>
      <color rgb="FFFFFFFF"/>
      <name val="Calibri"/>
    </font>
    <font>
      <sz val="14.0"/>
      <color rgb="FFFFFFFF"/>
      <name val="Calibri"/>
    </font>
    <font>
      <sz val="16.0"/>
      <color rgb="FF000000"/>
      <name val="Calibri"/>
    </font>
    <font/>
    <font>
      <b/>
      <sz val="16.0"/>
      <color rgb="FF000000"/>
      <name val="Calibri"/>
    </font>
    <font>
      <u/>
      <color rgb="FF1F1F1F"/>
      <name val="Calibri"/>
    </font>
    <font>
      <color rgb="FF1F1F1F"/>
      <name val="Calibri"/>
    </font>
    <font>
      <sz val="10.0"/>
      <color rgb="FF000000"/>
      <name val="Calibri"/>
    </font>
    <font>
      <sz val="11.0"/>
      <color rgb="FF000000"/>
      <name val="Calibri"/>
    </font>
    <font>
      <color theme="1"/>
      <name val="Arial"/>
    </font>
    <font>
      <sz val="10.0"/>
      <color rgb="FF000000"/>
      <name val="Arial"/>
    </font>
    <font>
      <sz val="11.0"/>
      <color rgb="FF000000"/>
      <name val="Inconsolata"/>
    </font>
    <font>
      <color rgb="FF172B4D"/>
      <name val="Arial"/>
    </font>
    <font>
      <color rgb="FF172B4D"/>
      <name val="-apple-system"/>
    </font>
    <font>
      <color rgb="FFFFFFFF"/>
      <name val="Arial"/>
    </font>
    <font>
      <sz val="12.0"/>
      <color rgb="FFFFFFFF"/>
      <name val="Arial"/>
    </font>
    <font>
      <sz val="12.0"/>
      <color rgb="FF000000"/>
      <name val="Arial"/>
    </font>
    <font>
      <color rgb="FF000000"/>
      <name val="Arial"/>
    </font>
    <font>
      <sz val="12.0"/>
      <color rgb="FF000000"/>
      <name val="Söhne"/>
    </font>
    <font>
      <sz val="11.0"/>
      <color rgb="FF000000"/>
      <name val="Arial"/>
    </font>
    <font>
      <sz val="10.0"/>
      <color rgb="FFFFFFFF"/>
      <name val="Calibri"/>
    </font>
    <font>
      <b/>
      <sz val="10.0"/>
      <color rgb="FFFFFFFF"/>
      <name val="Calibri"/>
    </font>
    <font>
      <sz val="10.0"/>
      <color theme="1"/>
      <name val="Calibri"/>
    </font>
    <font>
      <sz val="10.0"/>
      <color theme="10"/>
      <name val="Calibri"/>
    </font>
    <font>
      <sz val="11.0"/>
      <color rgb="FFFFFFFF"/>
      <name val="Calibri"/>
    </font>
    <font>
      <sz val="10.0"/>
      <color rgb="FFFFFFFF"/>
      <name val="Arial"/>
    </font>
    <font>
      <b/>
      <sz val="11.0"/>
      <color rgb="FFFFFFFF"/>
      <name val="Calibri"/>
    </font>
    <font>
      <sz val="10.0"/>
      <color theme="1"/>
      <name val="Arial"/>
    </font>
    <font>
      <sz val="10.0"/>
      <color theme="10"/>
      <name val="Arial"/>
    </font>
  </fonts>
  <fills count="16">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DEBF7"/>
        <bgColor rgb="FFDDEBF7"/>
      </patternFill>
    </fill>
    <fill>
      <patternFill patternType="solid">
        <fgColor rgb="FFC5E0B3"/>
        <bgColor rgb="FFC5E0B3"/>
      </patternFill>
    </fill>
    <fill>
      <patternFill patternType="solid">
        <fgColor rgb="FFFFCCCC"/>
        <bgColor rgb="FFFFCCCC"/>
      </patternFill>
    </fill>
    <fill>
      <patternFill patternType="solid">
        <fgColor rgb="FFFCE5CD"/>
        <bgColor rgb="FFFCE5CD"/>
      </patternFill>
    </fill>
    <fill>
      <patternFill patternType="solid">
        <fgColor rgb="FFFFE699"/>
        <bgColor rgb="FFFFE699"/>
      </patternFill>
    </fill>
    <fill>
      <patternFill patternType="solid">
        <fgColor rgb="FF073763"/>
        <bgColor rgb="FF073763"/>
      </patternFill>
    </fill>
    <fill>
      <patternFill patternType="solid">
        <fgColor rgb="FFF7F7F8"/>
        <bgColor rgb="FFF7F7F8"/>
      </patternFill>
    </fill>
    <fill>
      <patternFill patternType="solid">
        <fgColor rgb="FF172B4D"/>
        <bgColor rgb="FF172B4D"/>
      </patternFill>
    </fill>
    <fill>
      <patternFill patternType="solid">
        <fgColor rgb="FF274E13"/>
        <bgColor rgb="FF274E13"/>
      </patternFill>
    </fill>
    <fill>
      <patternFill patternType="solid">
        <fgColor rgb="FF808080"/>
        <bgColor rgb="FF808080"/>
      </patternFill>
    </fill>
    <fill>
      <patternFill patternType="solid">
        <fgColor rgb="FF666666"/>
        <bgColor rgb="FF666666"/>
      </patternFill>
    </fill>
    <fill>
      <patternFill patternType="solid">
        <fgColor rgb="FF1155CC"/>
        <bgColor rgb="FF1155CC"/>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2" fontId="1" numFmtId="0" xfId="0" applyFill="1" applyFont="1"/>
    <xf borderId="0" fillId="0" fontId="1" numFmtId="0" xfId="0" applyFont="1"/>
    <xf borderId="0" fillId="2" fontId="2" numFmtId="0" xfId="0" applyAlignment="1" applyFont="1">
      <alignment horizontal="center"/>
    </xf>
    <xf borderId="1" fillId="3" fontId="3" numFmtId="0" xfId="0" applyAlignment="1" applyBorder="1" applyFill="1" applyFont="1">
      <alignment horizontal="right"/>
    </xf>
    <xf borderId="1" fillId="3" fontId="3" numFmtId="0" xfId="0" applyAlignment="1" applyBorder="1" applyFont="1">
      <alignment horizontal="center"/>
    </xf>
    <xf borderId="0" fillId="2" fontId="4" numFmtId="0" xfId="0" applyAlignment="1" applyFont="1">
      <alignment horizontal="right"/>
    </xf>
    <xf borderId="1" fillId="3" fontId="2" numFmtId="0" xfId="0" applyAlignment="1" applyBorder="1" applyFont="1">
      <alignment horizontal="center"/>
    </xf>
    <xf borderId="2" fillId="3" fontId="2" numFmtId="0" xfId="0" applyAlignment="1" applyBorder="1" applyFont="1">
      <alignment horizontal="center" shrinkToFit="0" vertical="center" wrapText="1"/>
    </xf>
    <xf borderId="0" fillId="2" fontId="5" numFmtId="0" xfId="0" applyAlignment="1" applyFont="1">
      <alignment horizontal="right"/>
    </xf>
    <xf borderId="3" fillId="3" fontId="2" numFmtId="0" xfId="0" applyAlignment="1" applyBorder="1" applyFont="1">
      <alignment horizontal="center"/>
    </xf>
    <xf borderId="4" fillId="0" fontId="6" numFmtId="0" xfId="0" applyBorder="1" applyFont="1"/>
    <xf borderId="5" fillId="3" fontId="4" numFmtId="0" xfId="0" applyAlignment="1" applyBorder="1" applyFont="1">
      <alignment horizontal="right"/>
    </xf>
    <xf borderId="6" fillId="2" fontId="7" numFmtId="0" xfId="0" applyAlignment="1" applyBorder="1" applyFont="1">
      <alignment horizontal="center" vertical="top"/>
    </xf>
    <xf borderId="1" fillId="4" fontId="5" numFmtId="0" xfId="0" applyAlignment="1" applyBorder="1" applyFill="1" applyFont="1">
      <alignment horizontal="right"/>
    </xf>
    <xf borderId="1" fillId="5" fontId="5" numFmtId="0" xfId="0" applyAlignment="1" applyBorder="1" applyFill="1" applyFont="1">
      <alignment horizontal="right"/>
    </xf>
    <xf borderId="1" fillId="6" fontId="5" numFmtId="0" xfId="0" applyAlignment="1" applyBorder="1" applyFill="1" applyFont="1">
      <alignment horizontal="right"/>
    </xf>
    <xf borderId="1" fillId="7" fontId="5" numFmtId="0" xfId="0" applyAlignment="1" applyBorder="1" applyFill="1" applyFont="1">
      <alignment horizontal="right"/>
    </xf>
    <xf borderId="1" fillId="8" fontId="5" numFmtId="0" xfId="0" applyAlignment="1" applyBorder="1" applyFill="1" applyFont="1">
      <alignment horizontal="right" readingOrder="0"/>
    </xf>
    <xf borderId="0" fillId="0" fontId="1" numFmtId="0" xfId="0" applyFont="1"/>
    <xf borderId="0" fillId="2" fontId="8" numFmtId="0" xfId="0" applyFont="1"/>
    <xf borderId="0" fillId="2" fontId="9" numFmtId="10" xfId="0" applyFont="1" applyNumberFormat="1"/>
    <xf borderId="0" fillId="2" fontId="10" numFmtId="0" xfId="0" applyFont="1"/>
    <xf borderId="0" fillId="2" fontId="11" numFmtId="0" xfId="0" applyFont="1"/>
    <xf borderId="0" fillId="0" fontId="1" numFmtId="10" xfId="0" applyFont="1" applyNumberFormat="1"/>
    <xf borderId="0" fillId="2" fontId="9" numFmtId="0" xfId="0" applyFont="1"/>
    <xf borderId="0" fillId="2" fontId="10" numFmtId="10" xfId="0" applyFont="1" applyNumberFormat="1"/>
    <xf borderId="0" fillId="0" fontId="12" numFmtId="0" xfId="0" applyFont="1"/>
    <xf borderId="0" fillId="2" fontId="13" numFmtId="10" xfId="0" applyFont="1" applyNumberFormat="1"/>
    <xf borderId="0" fillId="2" fontId="14" numFmtId="0" xfId="0" applyFont="1"/>
    <xf borderId="0" fillId="0" fontId="12" numFmtId="0" xfId="0" applyAlignment="1" applyFont="1">
      <alignment shrinkToFit="0" wrapText="1"/>
    </xf>
    <xf borderId="0" fillId="0" fontId="12" numFmtId="10" xfId="0" applyFont="1" applyNumberFormat="1"/>
    <xf borderId="0" fillId="2" fontId="15" numFmtId="0" xfId="0" applyAlignment="1" applyFont="1">
      <alignment horizontal="left"/>
    </xf>
    <xf borderId="0" fillId="2" fontId="16" numFmtId="0" xfId="0" applyAlignment="1" applyFont="1">
      <alignment horizontal="left"/>
    </xf>
    <xf borderId="0" fillId="2" fontId="16" numFmtId="0" xfId="0" applyAlignment="1" applyFont="1">
      <alignment vertical="bottom"/>
    </xf>
    <xf borderId="0" fillId="9" fontId="17" numFmtId="0" xfId="0" applyFill="1" applyFont="1"/>
    <xf borderId="0" fillId="9" fontId="18" numFmtId="0" xfId="0" applyAlignment="1" applyFont="1">
      <alignment horizontal="left" shrinkToFit="0" wrapText="1"/>
    </xf>
    <xf borderId="0" fillId="0" fontId="19" numFmtId="0" xfId="0" applyAlignment="1" applyFont="1">
      <alignment horizontal="left" shrinkToFit="0" wrapText="1"/>
    </xf>
    <xf borderId="0" fillId="0" fontId="20" numFmtId="0" xfId="0" applyAlignment="1" applyFont="1">
      <alignment shrinkToFit="0" wrapText="1"/>
    </xf>
    <xf borderId="0" fillId="10" fontId="19" numFmtId="0" xfId="0" applyAlignment="1" applyFill="1" applyFont="1">
      <alignment horizontal="left" shrinkToFit="0" wrapText="1"/>
    </xf>
    <xf borderId="0" fillId="10" fontId="21" numFmtId="0" xfId="0" applyAlignment="1" applyFont="1">
      <alignment horizontal="left" shrinkToFit="0" wrapText="1"/>
    </xf>
    <xf borderId="0" fillId="2" fontId="19" numFmtId="0" xfId="0" applyAlignment="1" applyFont="1">
      <alignment horizontal="left" shrinkToFit="0" wrapText="1"/>
    </xf>
    <xf borderId="0" fillId="10" fontId="19" numFmtId="0" xfId="0" applyAlignment="1" applyFont="1">
      <alignment shrinkToFit="0" wrapText="1"/>
    </xf>
    <xf borderId="0" fillId="10" fontId="21" numFmtId="0" xfId="0" applyFont="1"/>
    <xf borderId="0" fillId="10" fontId="19" numFmtId="0" xfId="0" applyAlignment="1" applyFont="1">
      <alignment horizontal="left"/>
    </xf>
    <xf borderId="0" fillId="10" fontId="21" numFmtId="0" xfId="0" applyAlignment="1" applyFont="1">
      <alignment horizontal="left"/>
    </xf>
    <xf borderId="0" fillId="10" fontId="19" numFmtId="49" xfId="0" applyAlignment="1" applyFont="1" applyNumberFormat="1">
      <alignment horizontal="left"/>
    </xf>
    <xf borderId="0" fillId="2" fontId="22" numFmtId="49" xfId="0" applyFont="1" applyNumberFormat="1"/>
    <xf borderId="0" fillId="10" fontId="19" numFmtId="164" xfId="0" applyAlignment="1" applyFont="1" applyNumberFormat="1">
      <alignment horizontal="left" shrinkToFit="0" wrapText="1"/>
    </xf>
    <xf borderId="0" fillId="10" fontId="19" numFmtId="165" xfId="0" applyAlignment="1" applyFont="1" applyNumberFormat="1">
      <alignment horizontal="left" shrinkToFit="0" wrapText="1"/>
    </xf>
    <xf borderId="0" fillId="10" fontId="21" numFmtId="165" xfId="0" applyAlignment="1" applyFont="1" applyNumberFormat="1">
      <alignment horizontal="left"/>
    </xf>
    <xf borderId="0" fillId="10" fontId="21" numFmtId="164" xfId="0" applyAlignment="1" applyFont="1" applyNumberFormat="1">
      <alignment horizontal="left"/>
    </xf>
    <xf borderId="0" fillId="10" fontId="19" numFmtId="164" xfId="0" applyAlignment="1" applyFont="1" applyNumberFormat="1">
      <alignment horizontal="left"/>
    </xf>
    <xf borderId="0" fillId="10" fontId="19" numFmtId="165" xfId="0" applyAlignment="1" applyFont="1" applyNumberFormat="1">
      <alignment horizontal="left"/>
    </xf>
    <xf borderId="0" fillId="11" fontId="17" numFmtId="0" xfId="0" applyFill="1" applyFont="1"/>
    <xf borderId="0" fillId="11" fontId="19" numFmtId="0" xfId="0" applyAlignment="1" applyFont="1">
      <alignment horizontal="left" shrinkToFit="0" wrapText="1"/>
    </xf>
    <xf borderId="0" fillId="11" fontId="20" numFmtId="0" xfId="0" applyAlignment="1" applyFont="1">
      <alignment shrinkToFit="0" wrapText="1"/>
    </xf>
    <xf borderId="0" fillId="2" fontId="19" numFmtId="0" xfId="0" applyAlignment="1" applyFont="1">
      <alignment horizontal="left" shrinkToFit="0" vertical="bottom" wrapText="1"/>
    </xf>
    <xf borderId="1" fillId="9" fontId="23" numFmtId="0" xfId="0" applyAlignment="1" applyBorder="1" applyFont="1">
      <alignment horizontal="center" shrinkToFit="0" vertical="center" wrapText="1"/>
    </xf>
    <xf borderId="1" fillId="9" fontId="23" numFmtId="0" xfId="0" applyAlignment="1" applyBorder="1" applyFont="1">
      <alignment horizontal="center" vertical="center"/>
    </xf>
    <xf borderId="1" fillId="9" fontId="24" numFmtId="0" xfId="0" applyAlignment="1" applyBorder="1" applyFont="1">
      <alignment horizontal="center" shrinkToFit="0" vertical="center" wrapText="1"/>
    </xf>
    <xf borderId="1" fillId="12" fontId="24" numFmtId="0" xfId="0" applyAlignment="1" applyBorder="1" applyFill="1" applyFont="1">
      <alignment horizontal="center" shrinkToFit="0" vertical="center" wrapText="1"/>
    </xf>
    <xf borderId="1" fillId="12" fontId="24" numFmtId="0" xfId="0" applyAlignment="1" applyBorder="1" applyFont="1">
      <alignment shrinkToFit="0" vertical="center" wrapText="1"/>
    </xf>
    <xf borderId="1" fillId="12" fontId="25" numFmtId="0" xfId="0" applyAlignment="1" applyBorder="1" applyFont="1">
      <alignment vertical="center"/>
    </xf>
    <xf borderId="1" fillId="12" fontId="25" numFmtId="0" xfId="0" applyAlignment="1" applyBorder="1" applyFont="1">
      <alignment horizontal="center" vertical="center"/>
    </xf>
    <xf borderId="1" fillId="12" fontId="25" numFmtId="0" xfId="0" applyAlignment="1" applyBorder="1" applyFont="1">
      <alignment shrinkToFit="0" vertical="center" wrapText="1"/>
    </xf>
    <xf borderId="7" fillId="13" fontId="24" numFmtId="0" xfId="0" applyAlignment="1" applyBorder="1" applyFill="1" applyFont="1">
      <alignment horizontal="left" shrinkToFit="0" vertical="center" wrapText="1"/>
    </xf>
    <xf borderId="8" fillId="0" fontId="6" numFmtId="0" xfId="0" applyBorder="1" applyFont="1"/>
    <xf borderId="1" fillId="13" fontId="25" numFmtId="0" xfId="0" applyAlignment="1" applyBorder="1" applyFont="1">
      <alignment horizontal="left" vertical="center"/>
    </xf>
    <xf borderId="1" fillId="13" fontId="25"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1" numFmtId="0" xfId="0" applyAlignment="1" applyBorder="1" applyFont="1">
      <alignment vertical="center"/>
    </xf>
    <xf borderId="1" fillId="0" fontId="25" numFmtId="0" xfId="0" applyAlignment="1" applyBorder="1" applyFont="1">
      <alignment horizontal="center" shrinkToFit="0" vertical="center" wrapText="1"/>
    </xf>
    <xf borderId="1" fillId="2" fontId="25" numFmtId="0" xfId="0" applyAlignment="1" applyBorder="1" applyFont="1">
      <alignment horizontal="left" shrinkToFit="0" vertical="center" wrapText="1"/>
    </xf>
    <xf borderId="1" fillId="0" fontId="25" numFmtId="0" xfId="0" applyAlignment="1" applyBorder="1" applyFont="1">
      <alignment shrinkToFit="0" vertical="center" wrapText="1"/>
    </xf>
    <xf borderId="1" fillId="0" fontId="25" numFmtId="0" xfId="0" applyAlignment="1" applyBorder="1" applyFont="1">
      <alignment horizontal="center"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horizontal="center" vertical="center"/>
    </xf>
    <xf borderId="1" fillId="0" fontId="25" numFmtId="0" xfId="0" applyAlignment="1" applyBorder="1" applyFont="1">
      <alignment vertical="center"/>
    </xf>
    <xf borderId="1" fillId="14" fontId="25" numFmtId="0" xfId="0" applyAlignment="1" applyBorder="1" applyFill="1" applyFont="1">
      <alignment horizontal="left" vertical="center"/>
    </xf>
    <xf borderId="1" fillId="14" fontId="25" numFmtId="0" xfId="0" applyAlignment="1" applyBorder="1" applyFont="1">
      <alignment horizontal="left" shrinkToFit="0" vertical="center" wrapText="1"/>
    </xf>
    <xf borderId="1" fillId="2" fontId="25" numFmtId="0" xfId="0" applyAlignment="1" applyBorder="1" applyFont="1">
      <alignment shrinkToFit="0" vertical="center" wrapText="1"/>
    </xf>
    <xf borderId="1" fillId="2" fontId="25" numFmtId="0" xfId="0" applyAlignment="1" applyBorder="1" applyFont="1">
      <alignment vertical="center"/>
    </xf>
    <xf borderId="1" fillId="0" fontId="25" numFmtId="0" xfId="0" applyAlignment="1" applyBorder="1" applyFont="1">
      <alignment horizontal="left" shrinkToFit="0" vertical="center" wrapText="1"/>
    </xf>
    <xf borderId="1" fillId="0" fontId="26" numFmtId="0" xfId="0" applyAlignment="1" applyBorder="1" applyFont="1">
      <alignment shrinkToFit="0" vertical="center" wrapText="1"/>
    </xf>
    <xf borderId="1" fillId="2" fontId="10" numFmtId="0" xfId="0" applyAlignment="1" applyBorder="1" applyFont="1">
      <alignment horizontal="left" shrinkToFit="0" vertical="center" wrapText="1"/>
    </xf>
    <xf borderId="1" fillId="2" fontId="25" numFmtId="0" xfId="0" applyAlignment="1" applyBorder="1" applyFont="1">
      <alignment horizontal="center" vertical="center"/>
    </xf>
    <xf borderId="1" fillId="2" fontId="26" numFmtId="0" xfId="0" applyAlignment="1" applyBorder="1" applyFont="1">
      <alignment shrinkToFit="0" vertical="center" wrapText="1"/>
    </xf>
    <xf borderId="1" fillId="0" fontId="10"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9" fillId="0" fontId="6" numFmtId="0" xfId="0" applyBorder="1" applyFont="1"/>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14" fontId="25" numFmtId="0" xfId="0" applyAlignment="1" applyBorder="1" applyFont="1">
      <alignment shrinkToFit="0" vertical="center" wrapText="1"/>
    </xf>
    <xf borderId="1" fillId="0" fontId="25" numFmtId="0" xfId="0" applyAlignment="1" applyBorder="1" applyFont="1">
      <alignment horizontal="center" readingOrder="0" vertical="center"/>
    </xf>
    <xf borderId="1" fillId="2" fontId="25" numFmtId="0" xfId="0" applyAlignment="1" applyBorder="1" applyFont="1">
      <alignment horizontal="left" vertical="center"/>
    </xf>
    <xf borderId="1" fillId="0" fontId="25" numFmtId="0" xfId="0" applyAlignment="1" applyBorder="1" applyFont="1">
      <alignment horizontal="left" vertical="center"/>
    </xf>
    <xf borderId="1" fillId="0" fontId="26" numFmtId="0" xfId="0" applyAlignment="1" applyBorder="1" applyFont="1">
      <alignment horizontal="left" shrinkToFit="0" vertical="center" wrapText="1"/>
    </xf>
    <xf borderId="7" fillId="13" fontId="24" numFmtId="0" xfId="0" applyAlignment="1" applyBorder="1" applyFont="1">
      <alignment horizontal="center" shrinkToFit="0" vertical="center" wrapText="1"/>
    </xf>
    <xf borderId="1" fillId="14" fontId="25" numFmtId="0" xfId="0" applyAlignment="1" applyBorder="1" applyFont="1">
      <alignment vertical="center"/>
    </xf>
    <xf borderId="1" fillId="13" fontId="24" numFmtId="0" xfId="0" applyAlignment="1" applyBorder="1" applyFont="1">
      <alignment horizontal="left" shrinkToFit="0" vertical="center" wrapText="1"/>
    </xf>
    <xf borderId="1" fillId="0" fontId="1" numFmtId="0" xfId="0" applyAlignment="1" applyBorder="1" applyFont="1">
      <alignment vertical="center"/>
    </xf>
    <xf borderId="1" fillId="14" fontId="25" numFmtId="0" xfId="0" applyAlignment="1" applyBorder="1" applyFont="1">
      <alignment horizontal="center" vertical="center"/>
    </xf>
    <xf borderId="1" fillId="0" fontId="25" numFmtId="0" xfId="0" applyAlignment="1" applyBorder="1" applyFont="1">
      <alignment horizontal="left" readingOrder="0" vertical="center"/>
    </xf>
    <xf borderId="0" fillId="9" fontId="27" numFmtId="0" xfId="0" applyAlignment="1" applyFont="1">
      <alignment horizontal="center" shrinkToFit="0" vertical="center" wrapText="1"/>
    </xf>
    <xf borderId="0" fillId="9" fontId="28" numFmtId="0" xfId="0" applyAlignment="1" applyFont="1">
      <alignment horizontal="center" vertical="center"/>
    </xf>
    <xf borderId="0" fillId="9" fontId="28" numFmtId="0" xfId="0" applyAlignment="1" applyFont="1">
      <alignment horizontal="center" shrinkToFit="0" vertical="center" wrapText="1"/>
    </xf>
    <xf borderId="0" fillId="9" fontId="29" numFmtId="0" xfId="0" applyAlignment="1" applyFont="1">
      <alignment horizontal="center" shrinkToFit="0" vertical="center" wrapText="1"/>
    </xf>
    <xf borderId="0" fillId="12" fontId="29" numFmtId="0" xfId="0" applyAlignment="1" applyFont="1">
      <alignment shrinkToFit="0" wrapText="1"/>
    </xf>
    <xf borderId="0" fillId="12" fontId="30" numFmtId="0" xfId="0" applyAlignment="1" applyFont="1">
      <alignment vertical="top"/>
    </xf>
    <xf borderId="0" fillId="12" fontId="30" numFmtId="0" xfId="0" applyAlignment="1" applyFont="1">
      <alignment horizontal="center" vertical="center"/>
    </xf>
    <xf borderId="0" fillId="12" fontId="30" numFmtId="0" xfId="0" applyAlignment="1" applyFont="1">
      <alignment shrinkToFit="0" vertical="top" wrapText="1"/>
    </xf>
    <xf borderId="7" fillId="13" fontId="29" numFmtId="0" xfId="0" applyAlignment="1" applyBorder="1" applyFont="1">
      <alignment shrinkToFit="0" vertical="bottom" wrapText="1"/>
    </xf>
    <xf borderId="8" fillId="14" fontId="12" numFmtId="0" xfId="0" applyAlignment="1" applyBorder="1" applyFont="1">
      <alignment vertical="top"/>
    </xf>
    <xf borderId="8" fillId="14" fontId="12" numFmtId="0" xfId="0" applyBorder="1" applyFont="1"/>
    <xf borderId="8" fillId="14" fontId="12" numFmtId="0" xfId="0" applyAlignment="1" applyBorder="1" applyFont="1">
      <alignment vertical="center"/>
    </xf>
    <xf borderId="4" fillId="0" fontId="12" numFmtId="0" xfId="0" applyAlignment="1" applyBorder="1" applyFont="1">
      <alignment vertical="bottom"/>
    </xf>
    <xf borderId="10" fillId="0" fontId="12" numFmtId="0" xfId="0" applyAlignment="1" applyBorder="1" applyFont="1">
      <alignment shrinkToFit="0" vertical="top" wrapText="1"/>
    </xf>
    <xf borderId="10" fillId="0" fontId="20" numFmtId="0" xfId="0" applyAlignment="1" applyBorder="1" applyFont="1">
      <alignment shrinkToFit="0" vertical="top" wrapText="1"/>
    </xf>
    <xf borderId="10" fillId="0" fontId="12" numFmtId="0" xfId="0" applyBorder="1" applyFont="1"/>
    <xf borderId="10" fillId="0" fontId="12" numFmtId="0" xfId="0" applyAlignment="1" applyBorder="1" applyFont="1">
      <alignment vertical="top"/>
    </xf>
    <xf borderId="1" fillId="2" fontId="30" numFmtId="0" xfId="0" applyAlignment="1" applyBorder="1" applyFont="1">
      <alignment horizontal="center" vertical="center"/>
    </xf>
    <xf borderId="7" fillId="13" fontId="29" numFmtId="0" xfId="0" applyAlignment="1" applyBorder="1" applyFont="1">
      <alignment shrinkToFit="0" wrapText="1"/>
    </xf>
    <xf borderId="1" fillId="14" fontId="30" numFmtId="0" xfId="0" applyAlignment="1" applyBorder="1" applyFont="1">
      <alignment vertical="top"/>
    </xf>
    <xf borderId="1" fillId="14" fontId="30" numFmtId="0" xfId="0" applyAlignment="1" applyBorder="1" applyFont="1">
      <alignment horizontal="center" vertical="center"/>
    </xf>
    <xf borderId="1" fillId="14" fontId="30" numFmtId="0" xfId="0" applyAlignment="1" applyBorder="1" applyFont="1">
      <alignment shrinkToFit="0" vertical="top" wrapText="1"/>
    </xf>
    <xf borderId="7" fillId="0" fontId="30" numFmtId="0" xfId="0" applyBorder="1" applyFont="1"/>
    <xf borderId="1" fillId="0" fontId="30" numFmtId="0" xfId="0" applyAlignment="1" applyBorder="1" applyFont="1">
      <alignment shrinkToFit="0" vertical="top" wrapText="1"/>
    </xf>
    <xf borderId="1" fillId="0" fontId="30" numFmtId="0" xfId="0" applyAlignment="1" applyBorder="1" applyFont="1">
      <alignment horizontal="left" shrinkToFit="0" vertical="top" wrapText="1"/>
    </xf>
    <xf borderId="1" fillId="0" fontId="30" numFmtId="0" xfId="0" applyAlignment="1" applyBorder="1" applyFont="1">
      <alignment horizontal="center" vertical="center"/>
    </xf>
    <xf borderId="1" fillId="0" fontId="31" numFmtId="0" xfId="0" applyAlignment="1" applyBorder="1" applyFont="1">
      <alignment shrinkToFit="0" vertical="top" wrapText="1"/>
    </xf>
    <xf borderId="11" fillId="0" fontId="30" numFmtId="0" xfId="0" applyBorder="1" applyFont="1"/>
    <xf borderId="2" fillId="0" fontId="30" numFmtId="0" xfId="0" applyAlignment="1" applyBorder="1" applyFont="1">
      <alignment horizontal="center" vertical="center"/>
    </xf>
    <xf borderId="2" fillId="0" fontId="30" numFmtId="0" xfId="0" applyAlignment="1" applyBorder="1" applyFont="1">
      <alignment shrinkToFit="0" vertical="top" wrapText="1"/>
    </xf>
    <xf borderId="2" fillId="0" fontId="31" numFmtId="0" xfId="0" applyAlignment="1" applyBorder="1" applyFont="1">
      <alignment shrinkToFit="0" vertical="top" wrapText="1"/>
    </xf>
    <xf borderId="2" fillId="0" fontId="30" numFmtId="0" xfId="0" applyAlignment="1" applyBorder="1" applyFont="1">
      <alignment horizontal="left" shrinkToFit="0" vertical="top" wrapText="1"/>
    </xf>
    <xf borderId="2" fillId="0" fontId="30" numFmtId="0" xfId="0" applyBorder="1" applyFont="1"/>
    <xf borderId="11" fillId="15" fontId="29" numFmtId="0" xfId="0" applyAlignment="1" applyBorder="1" applyFill="1" applyFont="1">
      <alignment shrinkToFit="0" wrapText="1"/>
    </xf>
    <xf borderId="12" fillId="0" fontId="6" numFmtId="0" xfId="0" applyBorder="1" applyFont="1"/>
    <xf borderId="2" fillId="15" fontId="30" numFmtId="0" xfId="0" applyAlignment="1" applyBorder="1" applyFont="1">
      <alignment vertical="top"/>
    </xf>
    <xf borderId="2" fillId="15" fontId="30" numFmtId="0" xfId="0" applyAlignment="1" applyBorder="1" applyFont="1">
      <alignment horizontal="center" vertical="center"/>
    </xf>
    <xf borderId="2" fillId="15" fontId="30" numFmtId="0" xfId="0" applyAlignment="1" applyBorder="1" applyFont="1">
      <alignment shrinkToFit="0" vertical="top" wrapText="1"/>
    </xf>
    <xf borderId="8" fillId="14" fontId="12" numFmtId="0" xfId="0" applyAlignment="1" applyBorder="1" applyFont="1">
      <alignment vertical="bottom"/>
    </xf>
    <xf borderId="10" fillId="0" fontId="12" numFmtId="0" xfId="0" applyAlignment="1" applyBorder="1" applyFont="1">
      <alignment vertical="bottom"/>
    </xf>
    <xf borderId="10" fillId="2" fontId="12" numFmtId="0" xfId="0" applyAlignment="1" applyBorder="1" applyFont="1">
      <alignment horizontal="center" vertical="center"/>
    </xf>
    <xf borderId="1" fillId="0" fontId="30" numFmtId="0" xfId="0" applyBorder="1" applyFont="1"/>
    <xf borderId="7" fillId="12" fontId="24" numFmtId="0" xfId="0" applyAlignment="1" applyBorder="1" applyFont="1">
      <alignment horizontal="left" shrinkToFit="0" vertical="center" wrapText="1"/>
    </xf>
    <xf borderId="1" fillId="0" fontId="25" numFmtId="0" xfId="0" applyAlignment="1" applyBorder="1" applyFont="1">
      <alignment readingOrder="0" vertical="center"/>
    </xf>
  </cellXfs>
  <cellStyles count="1">
    <cellStyle xfId="0" name="Normal" builtinId="0"/>
  </cellStyles>
  <dxfs count="4">
    <dxf>
      <font>
        <color rgb="FFFFFFFF"/>
      </font>
      <fill>
        <patternFill patternType="solid">
          <fgColor rgb="FF1155CC"/>
          <bgColor rgb="FF1155CC"/>
        </patternFill>
      </fill>
      <border/>
    </dxf>
    <dxf>
      <font/>
      <fill>
        <patternFill patternType="solid">
          <fgColor rgb="FFF4C7C3"/>
          <bgColor rgb="FFF4C7C3"/>
        </patternFill>
      </fill>
      <border/>
    </dxf>
    <dxf>
      <font/>
      <fill>
        <patternFill patternType="solid">
          <fgColor rgb="FFB7E1CD"/>
          <bgColor rgb="FFB7E1CD"/>
        </patternFill>
      </fill>
      <border/>
    </dxf>
    <dxf>
      <font>
        <color rgb="FF00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4.xml"/><Relationship Id="rId14" Type="http://schemas.openxmlformats.org/officeDocument/2006/relationships/externalLink" Target="externalLinks/externalLink3.xml"/><Relationship Id="rId17" Type="http://customschemas.google.com/relationships/workbookmetadata" Target="metadata"/><Relationship Id="rId16" Type="http://schemas.openxmlformats.org/officeDocument/2006/relationships/externalLink" Target="externalLinks/externalLink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Dashboard%20Us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shboard%20QA%20Mentor"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shboard%20Manager"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ject%20Info"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ject%20Tea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shboard User"/>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shboard QA Mentor"/>
    </sheetNames>
    <sheetDataSet>
      <sheetData sheetId="0"/>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shboard Manager"/>
    </sheetNames>
    <sheetDataSet>
      <sheetData sheetId="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Info"/>
    </sheetNames>
    <sheetDataSet>
      <sheetData sheetId="0"/>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Team"/>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25.63"/>
    <col customWidth="1" min="3" max="3" width="22.75"/>
    <col customWidth="1" min="4" max="4" width="3.0"/>
    <col customWidth="1" min="5" max="5" width="25.75"/>
    <col customWidth="1" min="6" max="6" width="22.25"/>
    <col customWidth="1" min="7" max="7" width="3.13"/>
    <col customWidth="1" min="8" max="8" width="25.75"/>
    <col customWidth="1" min="9" max="9" width="22.25"/>
  </cols>
  <sheetData>
    <row r="1" ht="15.75" customHeight="1">
      <c r="A1" s="1"/>
      <c r="B1" s="2"/>
      <c r="C1" s="2"/>
      <c r="D1" s="2"/>
      <c r="E1" s="2"/>
      <c r="F1" s="2"/>
      <c r="G1" s="2"/>
      <c r="H1" s="2"/>
      <c r="I1" s="2"/>
    </row>
    <row r="2">
      <c r="A2" s="3"/>
      <c r="B2" s="4" t="s">
        <v>0</v>
      </c>
      <c r="C2" s="5">
        <f>SUM(C6,F6,I6)</f>
        <v>1276</v>
      </c>
      <c r="D2" s="2"/>
      <c r="E2" s="2"/>
      <c r="F2" s="2"/>
      <c r="G2" s="2"/>
      <c r="H2" s="2"/>
      <c r="I2" s="2"/>
    </row>
    <row r="3" ht="21.75" customHeight="1">
      <c r="A3" s="3"/>
      <c r="B3" s="2"/>
      <c r="C3" s="2"/>
      <c r="D3" s="2"/>
      <c r="E3" s="2"/>
      <c r="F3" s="2"/>
      <c r="G3" s="2"/>
      <c r="H3" s="2"/>
      <c r="I3" s="2"/>
    </row>
    <row r="4" ht="21.0" customHeight="1">
      <c r="A4" s="6"/>
      <c r="B4" s="7" t="s">
        <v>1</v>
      </c>
      <c r="C4" s="8" t="s">
        <v>2</v>
      </c>
      <c r="D4" s="2"/>
      <c r="E4" s="7" t="s">
        <v>1</v>
      </c>
      <c r="F4" s="8" t="s">
        <v>3</v>
      </c>
      <c r="G4" s="2"/>
      <c r="H4" s="7" t="s">
        <v>1</v>
      </c>
      <c r="I4" s="8" t="s">
        <v>4</v>
      </c>
    </row>
    <row r="5">
      <c r="A5" s="9"/>
      <c r="B5" s="10" t="s">
        <v>5</v>
      </c>
      <c r="C5" s="11"/>
      <c r="D5" s="2"/>
      <c r="E5" s="10" t="s">
        <v>5</v>
      </c>
      <c r="F5" s="11"/>
      <c r="G5" s="2"/>
      <c r="H5" s="10" t="s">
        <v>5</v>
      </c>
      <c r="I5" s="11"/>
    </row>
    <row r="6">
      <c r="A6" s="9"/>
      <c r="B6" s="12" t="s">
        <v>6</v>
      </c>
      <c r="C6" s="13">
        <f>SUM(C7:C11)</f>
        <v>588</v>
      </c>
      <c r="D6" s="2"/>
      <c r="E6" s="12" t="s">
        <v>6</v>
      </c>
      <c r="F6" s="13">
        <f>SUM(F7:F11)</f>
        <v>413</v>
      </c>
      <c r="G6" s="2"/>
      <c r="H6" s="12" t="s">
        <v>6</v>
      </c>
      <c r="I6" s="13">
        <f>SUM(I7:I11)</f>
        <v>275</v>
      </c>
    </row>
    <row r="7">
      <c r="A7" s="9"/>
      <c r="B7" s="14" t="s">
        <v>7</v>
      </c>
      <c r="C7" s="13">
        <f>COUNTIF('Test Case - Sprint 1'!F:F,"NOT STARTED")</f>
        <v>0</v>
      </c>
      <c r="D7" s="2"/>
      <c r="E7" s="14" t="s">
        <v>7</v>
      </c>
      <c r="F7" s="13">
        <f>COUNTIF('Test Case - Sprint 2'!F:F,"NOT STARTED")</f>
        <v>25</v>
      </c>
      <c r="G7" s="2"/>
      <c r="H7" s="14" t="s">
        <v>7</v>
      </c>
      <c r="I7" s="13">
        <f>COUNTIF('Test Case - Sprint 3'!F:F,"NOT STARTED")</f>
        <v>19</v>
      </c>
    </row>
    <row r="8">
      <c r="A8" s="9"/>
      <c r="B8" s="15" t="s">
        <v>8</v>
      </c>
      <c r="C8" s="13">
        <f>COUNTIF('Test Case - Sprint 1'!F:F,"PASSED")</f>
        <v>587</v>
      </c>
      <c r="D8" s="2"/>
      <c r="E8" s="15" t="s">
        <v>8</v>
      </c>
      <c r="F8" s="13">
        <f>COUNTIF('Test Case - Sprint 2'!F:F,"PASSED")</f>
        <v>388</v>
      </c>
      <c r="G8" s="2"/>
      <c r="H8" s="15" t="s">
        <v>8</v>
      </c>
      <c r="I8" s="13">
        <f>COUNTIF('Test Case - Sprint 3'!F:F,"PASSED")</f>
        <v>252</v>
      </c>
    </row>
    <row r="9">
      <c r="A9" s="9"/>
      <c r="B9" s="16" t="s">
        <v>9</v>
      </c>
      <c r="C9" s="13">
        <f>COUNTIF('Test Case - Sprint 1'!F:F,"FAILED")</f>
        <v>1</v>
      </c>
      <c r="D9" s="2"/>
      <c r="E9" s="16" t="s">
        <v>9</v>
      </c>
      <c r="F9" s="13">
        <f>COUNTIF('Test Case - Sprint 2.0'!F:F,"FAILED")</f>
        <v>0</v>
      </c>
      <c r="G9" s="2"/>
      <c r="H9" s="16" t="s">
        <v>9</v>
      </c>
      <c r="I9" s="13">
        <f>COUNTIF('Test Case - Sprint 3'!F:F,"FAILED")</f>
        <v>4</v>
      </c>
    </row>
    <row r="10">
      <c r="A10" s="1"/>
      <c r="B10" s="17" t="s">
        <v>10</v>
      </c>
      <c r="C10" s="13">
        <f>COUNTIF('Test Case - Sprint 1'!F:F,"Re-Test")</f>
        <v>0</v>
      </c>
      <c r="D10" s="2"/>
      <c r="E10" s="17" t="s">
        <v>10</v>
      </c>
      <c r="F10" s="13">
        <f>COUNTIF('Test Case - Sprint 2.0'!F:F,"Re-Test")</f>
        <v>0</v>
      </c>
      <c r="G10" s="2"/>
      <c r="H10" s="17" t="s">
        <v>10</v>
      </c>
      <c r="I10" s="13">
        <f>COUNTIF('Test Case - Sprint 3'!F:F,"Re-Test")</f>
        <v>0</v>
      </c>
    </row>
    <row r="11">
      <c r="A11" s="1"/>
      <c r="B11" s="18" t="s">
        <v>11</v>
      </c>
      <c r="C11" s="13">
        <f>COUNTIF('Test Case - Sprint 1'!F:F,"Blocked/Skip")</f>
        <v>0</v>
      </c>
      <c r="D11" s="2"/>
      <c r="E11" s="18" t="s">
        <v>11</v>
      </c>
      <c r="F11" s="13">
        <f>COUNTIF('Test Case - Sprint 2'!F:F,"Blocked/Skip")</f>
        <v>0</v>
      </c>
      <c r="G11" s="2"/>
      <c r="H11" s="18" t="s">
        <v>11</v>
      </c>
      <c r="I11" s="13">
        <f>COUNTIF('Test Case - Sprint 3'!F:F,"Blocked/Skip")</f>
        <v>0</v>
      </c>
    </row>
    <row r="12" ht="15.75" customHeight="1">
      <c r="A12" s="1"/>
      <c r="B12" s="2"/>
      <c r="C12" s="2"/>
      <c r="D12" s="2"/>
      <c r="E12" s="2"/>
      <c r="F12" s="2"/>
      <c r="G12" s="2"/>
      <c r="H12" s="2"/>
      <c r="I12" s="2"/>
    </row>
    <row r="13" ht="15.75" customHeight="1">
      <c r="A13" s="1"/>
      <c r="B13" s="1" t="s">
        <v>12</v>
      </c>
      <c r="C13" s="2"/>
      <c r="D13" s="2"/>
      <c r="E13" s="19" t="s">
        <v>12</v>
      </c>
      <c r="F13" s="2"/>
      <c r="G13" s="2"/>
      <c r="H13" s="19" t="s">
        <v>13</v>
      </c>
      <c r="I13" s="2"/>
    </row>
    <row r="14" ht="15.75" customHeight="1">
      <c r="A14" s="1"/>
      <c r="B14" s="1"/>
      <c r="C14" s="2"/>
      <c r="D14" s="2"/>
      <c r="E14" s="2"/>
      <c r="F14" s="2"/>
      <c r="G14" s="2"/>
      <c r="H14" s="2"/>
      <c r="I14" s="2"/>
    </row>
    <row r="15" ht="15.75" customHeight="1">
      <c r="A15" s="1"/>
      <c r="B15" s="20" t="s">
        <v>14</v>
      </c>
      <c r="C15" s="21">
        <f>COUNTIF('Test Case - Sprint 1'!F5:F11,"Passed")/7</f>
        <v>1</v>
      </c>
      <c r="D15" s="2"/>
      <c r="E15" s="19" t="s">
        <v>15</v>
      </c>
      <c r="F15" s="19"/>
      <c r="G15" s="2"/>
      <c r="H15" s="22" t="s">
        <v>16</v>
      </c>
      <c r="I15" s="19"/>
    </row>
    <row r="16" ht="15.75" customHeight="1">
      <c r="A16" s="1"/>
      <c r="B16" s="20" t="s">
        <v>17</v>
      </c>
      <c r="C16" s="21">
        <f>COUNTIF('Test Case - Sprint 1'!F13:F16,"Passed")/4</f>
        <v>1</v>
      </c>
      <c r="D16" s="2"/>
      <c r="E16" s="19" t="s">
        <v>18</v>
      </c>
      <c r="F16" s="23"/>
      <c r="G16" s="2"/>
      <c r="H16" s="19" t="s">
        <v>19</v>
      </c>
      <c r="I16" s="23"/>
    </row>
    <row r="17" ht="15.75" customHeight="1">
      <c r="A17" s="1"/>
      <c r="B17" s="20" t="s">
        <v>20</v>
      </c>
      <c r="C17" s="21">
        <f>COUNTIF('Test Case - Sprint 1'!F18:F42,"Passed")/25</f>
        <v>1</v>
      </c>
      <c r="D17" s="2"/>
      <c r="E17" s="19" t="s">
        <v>21</v>
      </c>
      <c r="F17" s="2"/>
      <c r="G17" s="2"/>
      <c r="H17" s="19" t="s">
        <v>22</v>
      </c>
      <c r="I17" s="2"/>
    </row>
    <row r="18" ht="15.75" customHeight="1">
      <c r="A18" s="1"/>
      <c r="B18" s="20" t="s">
        <v>23</v>
      </c>
      <c r="C18" s="21">
        <f>COUNTIF('Test Case - Sprint 1'!F44:F53,"Passed")/10</f>
        <v>1</v>
      </c>
      <c r="D18" s="2"/>
      <c r="E18" s="19" t="s">
        <v>24</v>
      </c>
      <c r="F18" s="2"/>
      <c r="G18" s="2"/>
      <c r="H18" s="19" t="s">
        <v>25</v>
      </c>
      <c r="I18" s="2"/>
    </row>
    <row r="19" ht="15.75" customHeight="1">
      <c r="A19" s="1"/>
      <c r="B19" s="20" t="s">
        <v>26</v>
      </c>
      <c r="C19" s="21">
        <f>COUNTIF('Test Case - Sprint 1'!F55:F61,"Passed")/7</f>
        <v>1</v>
      </c>
      <c r="D19" s="2"/>
      <c r="E19" s="19" t="s">
        <v>27</v>
      </c>
      <c r="F19" s="2"/>
      <c r="G19" s="2"/>
      <c r="H19" s="19" t="s">
        <v>28</v>
      </c>
      <c r="I19" s="2"/>
    </row>
    <row r="20" ht="15.75" customHeight="1">
      <c r="A20" s="1"/>
      <c r="B20" s="20" t="s">
        <v>29</v>
      </c>
      <c r="C20" s="21">
        <f>COUNTIF('Test Case - Sprint 1'!F63:F70,"Passed")/8</f>
        <v>1</v>
      </c>
      <c r="D20" s="2"/>
      <c r="E20" s="19" t="s">
        <v>30</v>
      </c>
      <c r="F20" s="2"/>
      <c r="G20" s="2"/>
      <c r="H20" s="19" t="s">
        <v>31</v>
      </c>
      <c r="I20" s="2"/>
    </row>
    <row r="21" ht="15.75" customHeight="1">
      <c r="A21" s="1"/>
      <c r="B21" s="20" t="s">
        <v>32</v>
      </c>
      <c r="C21" s="21">
        <f>COUNTIF('Test Case - Sprint 1'!F72:F82,"Passed")/11</f>
        <v>1</v>
      </c>
      <c r="D21" s="2"/>
      <c r="E21" s="19" t="s">
        <v>33</v>
      </c>
      <c r="F21" s="2"/>
      <c r="G21" s="2"/>
      <c r="H21" s="19" t="s">
        <v>34</v>
      </c>
      <c r="I21" s="2"/>
    </row>
    <row r="22" ht="15.75" customHeight="1">
      <c r="A22" s="1"/>
      <c r="B22" s="20" t="s">
        <v>19</v>
      </c>
      <c r="C22" s="21">
        <f>COUNTIF('Test Case - Sprint 1'!F84:F109,"Passed")/26</f>
        <v>1</v>
      </c>
      <c r="D22" s="2"/>
      <c r="E22" s="19" t="s">
        <v>35</v>
      </c>
      <c r="F22" s="2"/>
      <c r="G22" s="2"/>
      <c r="H22" s="19" t="s">
        <v>36</v>
      </c>
      <c r="I22" s="2"/>
    </row>
    <row r="23" ht="15.75" customHeight="1">
      <c r="A23" s="1"/>
      <c r="B23" s="20" t="s">
        <v>37</v>
      </c>
      <c r="C23" s="21">
        <f>COUNTIF('Test Case - Sprint 1'!F111:F132,"Passed")/23</f>
        <v>0.9565217391</v>
      </c>
      <c r="D23" s="2"/>
      <c r="E23" s="19" t="s">
        <v>38</v>
      </c>
      <c r="F23" s="24"/>
      <c r="G23" s="2"/>
      <c r="H23" s="19" t="s">
        <v>39</v>
      </c>
      <c r="I23" s="24"/>
    </row>
    <row r="24" ht="15.75" customHeight="1">
      <c r="A24" s="1"/>
      <c r="B24" s="20" t="s">
        <v>40</v>
      </c>
      <c r="C24" s="21">
        <f>COUNTIF('Test Case - Sprint 1'!F134:F147,"Passed")/16</f>
        <v>0.875</v>
      </c>
      <c r="D24" s="2"/>
      <c r="E24" s="19" t="s">
        <v>41</v>
      </c>
      <c r="F24" s="24"/>
      <c r="G24" s="2"/>
      <c r="H24" s="19" t="s">
        <v>42</v>
      </c>
      <c r="I24" s="24"/>
    </row>
    <row r="25">
      <c r="A25" s="1"/>
      <c r="B25" s="19" t="s">
        <v>43</v>
      </c>
      <c r="C25" s="21">
        <f>COUNTIF('Test Case - Sprint 1'!F149:F163,"Passed")/15</f>
        <v>1</v>
      </c>
      <c r="D25" s="2"/>
      <c r="E25" s="19" t="s">
        <v>44</v>
      </c>
      <c r="F25" s="2"/>
      <c r="G25" s="2"/>
      <c r="H25" s="19" t="s">
        <v>45</v>
      </c>
      <c r="I25" s="2"/>
    </row>
    <row r="26">
      <c r="A26" s="1"/>
      <c r="B26" s="19" t="s">
        <v>46</v>
      </c>
      <c r="C26" s="21">
        <f>COUNTIF('Test Case - Sprint 1'!F165:F175,"Passed")/11</f>
        <v>1</v>
      </c>
      <c r="D26" s="2"/>
      <c r="E26" s="19" t="s">
        <v>47</v>
      </c>
      <c r="F26" s="2"/>
      <c r="G26" s="2"/>
      <c r="H26" s="19" t="s">
        <v>48</v>
      </c>
      <c r="I26" s="2"/>
    </row>
    <row r="27">
      <c r="A27" s="1"/>
      <c r="B27" s="19" t="s">
        <v>49</v>
      </c>
      <c r="C27" s="21">
        <f>COUNTIF('Test Case - Sprint 1'!F177:F205,"Passed")/30</f>
        <v>0.9666666667</v>
      </c>
      <c r="D27" s="2"/>
      <c r="E27" s="19" t="s">
        <v>31</v>
      </c>
      <c r="F27" s="2"/>
      <c r="G27" s="2"/>
      <c r="H27" s="19" t="s">
        <v>50</v>
      </c>
      <c r="I27" s="2"/>
    </row>
    <row r="28">
      <c r="A28" s="1"/>
      <c r="B28" s="19" t="s">
        <v>51</v>
      </c>
      <c r="C28" s="21"/>
      <c r="D28" s="2"/>
      <c r="E28" s="19" t="s">
        <v>45</v>
      </c>
      <c r="F28" s="2"/>
      <c r="G28" s="2"/>
      <c r="H28" s="19" t="s">
        <v>52</v>
      </c>
      <c r="I28" s="2"/>
    </row>
    <row r="29">
      <c r="A29" s="1"/>
      <c r="B29" s="19" t="s">
        <v>53</v>
      </c>
      <c r="C29" s="21"/>
      <c r="D29" s="2"/>
      <c r="E29" s="19" t="s">
        <v>28</v>
      </c>
      <c r="F29" s="2"/>
      <c r="G29" s="2"/>
      <c r="H29" s="19" t="s">
        <v>54</v>
      </c>
      <c r="I29" s="2"/>
    </row>
    <row r="30">
      <c r="A30" s="1"/>
      <c r="B30" s="19" t="s">
        <v>55</v>
      </c>
      <c r="C30" s="21"/>
      <c r="D30" s="2"/>
      <c r="E30" s="19" t="s">
        <v>56</v>
      </c>
      <c r="F30" s="2"/>
      <c r="G30" s="2"/>
      <c r="H30" s="19" t="s">
        <v>57</v>
      </c>
      <c r="I30" s="2"/>
    </row>
    <row r="31" ht="15.75" customHeight="1">
      <c r="A31" s="1"/>
      <c r="B31" s="19" t="s">
        <v>58</v>
      </c>
      <c r="C31" s="21"/>
      <c r="D31" s="2"/>
      <c r="E31" s="19" t="s">
        <v>59</v>
      </c>
      <c r="F31" s="2"/>
      <c r="G31" s="2"/>
      <c r="H31" s="19" t="s">
        <v>59</v>
      </c>
      <c r="I31" s="2"/>
    </row>
    <row r="32" ht="15.75" customHeight="1">
      <c r="A32" s="1"/>
      <c r="B32" s="19" t="s">
        <v>60</v>
      </c>
      <c r="C32" s="21"/>
      <c r="D32" s="2"/>
      <c r="E32" s="19"/>
      <c r="F32" s="2"/>
      <c r="G32" s="2"/>
      <c r="H32" s="2"/>
      <c r="I32" s="2"/>
    </row>
    <row r="33" ht="15.75" customHeight="1">
      <c r="A33" s="1"/>
      <c r="B33" s="19" t="s">
        <v>61</v>
      </c>
      <c r="C33" s="25"/>
      <c r="D33" s="2"/>
      <c r="E33" s="19"/>
      <c r="F33" s="2"/>
      <c r="G33" s="2"/>
      <c r="H33" s="2"/>
      <c r="I33" s="2"/>
    </row>
    <row r="34" ht="15.75" customHeight="1">
      <c r="A34" s="1"/>
      <c r="B34" s="19" t="s">
        <v>62</v>
      </c>
      <c r="C34" s="21"/>
      <c r="D34" s="2"/>
      <c r="E34" s="2"/>
      <c r="F34" s="2"/>
      <c r="G34" s="2"/>
      <c r="H34" s="2"/>
      <c r="I34" s="2"/>
    </row>
    <row r="35" ht="15.75" customHeight="1">
      <c r="A35" s="1"/>
      <c r="B35" s="19" t="s">
        <v>63</v>
      </c>
      <c r="C35" s="21"/>
      <c r="D35" s="2"/>
      <c r="E35" s="2"/>
      <c r="F35" s="2"/>
      <c r="G35" s="2"/>
      <c r="H35" s="2"/>
      <c r="I35" s="2"/>
    </row>
    <row r="36" ht="15.75" customHeight="1">
      <c r="A36" s="1"/>
      <c r="B36" s="19" t="s">
        <v>64</v>
      </c>
      <c r="C36" s="21"/>
      <c r="D36" s="2"/>
      <c r="E36" s="2"/>
      <c r="F36" s="2"/>
      <c r="G36" s="2"/>
      <c r="H36" s="2"/>
      <c r="I36" s="2"/>
    </row>
    <row r="37" ht="15.75" customHeight="1">
      <c r="A37" s="1"/>
      <c r="B37" s="19" t="s">
        <v>65</v>
      </c>
      <c r="C37" s="21"/>
      <c r="D37" s="2"/>
      <c r="E37" s="2"/>
      <c r="F37" s="2"/>
      <c r="G37" s="2"/>
      <c r="H37" s="2"/>
      <c r="I37" s="2"/>
    </row>
    <row r="38" ht="15.75" customHeight="1">
      <c r="A38" s="1"/>
      <c r="B38" s="19" t="s">
        <v>66</v>
      </c>
      <c r="C38" s="19"/>
      <c r="D38" s="2"/>
      <c r="E38" s="2"/>
      <c r="F38" s="2"/>
      <c r="G38" s="2"/>
      <c r="H38" s="2"/>
      <c r="I38" s="2"/>
    </row>
    <row r="39" ht="15.75" customHeight="1">
      <c r="A39" s="1"/>
      <c r="B39" s="19" t="s">
        <v>67</v>
      </c>
      <c r="C39" s="2"/>
      <c r="D39" s="2"/>
      <c r="E39" s="2"/>
      <c r="F39" s="2"/>
      <c r="G39" s="2"/>
      <c r="H39" s="2"/>
      <c r="I39" s="2"/>
    </row>
    <row r="40" ht="15.75" customHeight="1">
      <c r="A40" s="1"/>
      <c r="B40" s="19" t="s">
        <v>68</v>
      </c>
      <c r="C40" s="19"/>
      <c r="D40" s="2"/>
      <c r="E40" s="2"/>
      <c r="F40" s="2"/>
      <c r="G40" s="2"/>
      <c r="H40" s="2"/>
      <c r="I40" s="2"/>
    </row>
    <row r="41" ht="15.75" customHeight="1">
      <c r="A41" s="1"/>
      <c r="B41" s="19" t="s">
        <v>69</v>
      </c>
      <c r="C41" s="19"/>
      <c r="D41" s="2"/>
      <c r="E41" s="2"/>
      <c r="F41" s="2"/>
      <c r="G41" s="2"/>
      <c r="H41" s="2"/>
      <c r="I41" s="2"/>
    </row>
    <row r="42" ht="15.75" customHeight="1">
      <c r="A42" s="1"/>
      <c r="B42" s="19" t="s">
        <v>70</v>
      </c>
      <c r="C42" s="2"/>
      <c r="D42" s="2"/>
      <c r="E42" s="2"/>
      <c r="F42" s="2"/>
      <c r="G42" s="2"/>
      <c r="H42" s="2"/>
      <c r="I42" s="2"/>
    </row>
    <row r="43" ht="15.75" customHeight="1">
      <c r="A43" s="1"/>
      <c r="B43" s="2"/>
      <c r="C43" s="2"/>
      <c r="D43" s="2"/>
      <c r="E43" s="2"/>
      <c r="F43" s="2"/>
      <c r="G43" s="2"/>
      <c r="H43" s="2"/>
      <c r="I43" s="2"/>
    </row>
    <row r="44" ht="15.75" customHeight="1">
      <c r="A44" s="1"/>
      <c r="B44" s="2"/>
      <c r="C44" s="2"/>
      <c r="D44" s="2"/>
      <c r="E44" s="2"/>
      <c r="F44" s="2"/>
      <c r="G44" s="2"/>
      <c r="H44" s="2"/>
      <c r="I44" s="2"/>
    </row>
    <row r="45" ht="15.75" customHeight="1">
      <c r="A45" s="1"/>
      <c r="B45" s="2"/>
      <c r="C45" s="2"/>
      <c r="D45" s="2"/>
      <c r="E45" s="2"/>
      <c r="F45" s="2"/>
      <c r="G45" s="2"/>
      <c r="H45" s="2"/>
      <c r="I45" s="2"/>
    </row>
    <row r="46" ht="15.75" customHeight="1">
      <c r="A46" s="1"/>
      <c r="B46" s="2"/>
      <c r="C46" s="2"/>
      <c r="D46" s="2"/>
      <c r="E46" s="2"/>
      <c r="F46" s="2"/>
      <c r="G46" s="2"/>
      <c r="H46" s="2"/>
      <c r="I46" s="2"/>
    </row>
    <row r="47" ht="15.75" customHeight="1">
      <c r="A47" s="1"/>
      <c r="B47" s="2"/>
      <c r="C47" s="2"/>
      <c r="D47" s="2"/>
      <c r="E47" s="2"/>
      <c r="F47" s="2"/>
      <c r="G47" s="2"/>
      <c r="H47" s="2"/>
      <c r="I47" s="2"/>
    </row>
    <row r="48" ht="15.75" customHeight="1">
      <c r="A48" s="1"/>
      <c r="B48" s="2"/>
      <c r="C48" s="2"/>
      <c r="D48" s="2"/>
      <c r="E48" s="2"/>
      <c r="F48" s="2"/>
      <c r="G48" s="2"/>
      <c r="H48" s="2"/>
      <c r="I48" s="2"/>
    </row>
    <row r="49" ht="15.75" customHeight="1">
      <c r="A49" s="1"/>
      <c r="B49" s="2"/>
      <c r="C49" s="2"/>
      <c r="D49" s="2"/>
      <c r="E49" s="2"/>
      <c r="F49" s="2"/>
      <c r="G49" s="2"/>
      <c r="H49" s="2"/>
      <c r="I49" s="2"/>
    </row>
    <row r="50" ht="15.75" customHeight="1">
      <c r="A50" s="1"/>
      <c r="B50" s="2"/>
      <c r="C50" s="2"/>
      <c r="D50" s="2"/>
      <c r="E50" s="2"/>
      <c r="F50" s="2"/>
      <c r="G50" s="2"/>
      <c r="H50" s="2"/>
      <c r="I50" s="2"/>
    </row>
    <row r="51" ht="15.75" customHeight="1">
      <c r="A51" s="1"/>
      <c r="B51" s="2"/>
      <c r="C51" s="2"/>
      <c r="D51" s="2"/>
      <c r="E51" s="2"/>
      <c r="F51" s="2"/>
      <c r="G51" s="2"/>
      <c r="H51" s="2"/>
      <c r="I51" s="2"/>
    </row>
    <row r="52" ht="15.75" customHeight="1">
      <c r="A52" s="1"/>
      <c r="B52" s="2"/>
      <c r="C52" s="2"/>
      <c r="D52" s="2"/>
      <c r="E52" s="2"/>
      <c r="F52" s="2"/>
      <c r="G52" s="2"/>
      <c r="H52" s="2"/>
      <c r="I52" s="2"/>
    </row>
    <row r="53" ht="15.75" customHeight="1">
      <c r="A53" s="1"/>
      <c r="B53" s="2"/>
      <c r="C53" s="2"/>
      <c r="D53" s="2"/>
      <c r="E53" s="2"/>
      <c r="F53" s="2"/>
      <c r="G53" s="2"/>
      <c r="H53" s="2"/>
      <c r="I53" s="2"/>
    </row>
    <row r="54" ht="15.75" customHeight="1">
      <c r="A54" s="1"/>
      <c r="B54" s="2"/>
      <c r="C54" s="2"/>
      <c r="D54" s="2"/>
      <c r="E54" s="2"/>
      <c r="F54" s="2"/>
      <c r="G54" s="2"/>
      <c r="H54" s="2"/>
      <c r="I54" s="2"/>
    </row>
    <row r="55" ht="15.75" customHeight="1">
      <c r="A55" s="1"/>
      <c r="B55" s="19"/>
      <c r="C55" s="2"/>
      <c r="D55" s="2"/>
      <c r="E55" s="2"/>
      <c r="F55" s="2"/>
      <c r="G55" s="2"/>
      <c r="H55" s="2"/>
      <c r="I55" s="2"/>
    </row>
    <row r="56" ht="15.75" customHeight="1">
      <c r="A56" s="1"/>
      <c r="B56" s="19"/>
      <c r="C56" s="2"/>
      <c r="D56" s="2"/>
      <c r="E56" s="2"/>
      <c r="F56" s="2"/>
      <c r="G56" s="2"/>
      <c r="H56" s="2"/>
      <c r="I56" s="2"/>
    </row>
    <row r="57" ht="15.75" customHeight="1">
      <c r="A57" s="1"/>
      <c r="B57" s="2"/>
      <c r="C57" s="2"/>
      <c r="D57" s="2"/>
      <c r="E57" s="2"/>
      <c r="F57" s="2"/>
      <c r="G57" s="2"/>
      <c r="H57" s="2"/>
      <c r="I57" s="2"/>
    </row>
    <row r="58" ht="15.75" customHeight="1">
      <c r="A58" s="1"/>
      <c r="B58" s="19"/>
      <c r="C58" s="19"/>
      <c r="D58" s="2"/>
      <c r="E58" s="26"/>
      <c r="F58" s="19"/>
      <c r="G58" s="2"/>
      <c r="H58" s="26"/>
      <c r="I58" s="19"/>
    </row>
    <row r="59" ht="15.75" customHeight="1">
      <c r="A59" s="1"/>
      <c r="B59" s="19"/>
      <c r="C59" s="19"/>
      <c r="D59" s="2"/>
      <c r="E59" s="2"/>
      <c r="F59" s="23"/>
      <c r="G59" s="2"/>
      <c r="H59" s="2"/>
      <c r="I59" s="23"/>
    </row>
    <row r="60" ht="15.75" customHeight="1">
      <c r="A60" s="1"/>
      <c r="B60" s="19"/>
      <c r="C60" s="19"/>
      <c r="D60" s="2"/>
      <c r="E60" s="2"/>
      <c r="F60" s="2"/>
      <c r="G60" s="2"/>
      <c r="H60" s="2"/>
      <c r="I60" s="2"/>
    </row>
    <row r="61" ht="15.75" customHeight="1">
      <c r="A61" s="1"/>
      <c r="B61" s="19"/>
      <c r="C61" s="2"/>
      <c r="D61" s="2"/>
      <c r="E61" s="2"/>
      <c r="F61" s="2"/>
      <c r="G61" s="2"/>
      <c r="H61" s="2"/>
      <c r="I61" s="2"/>
    </row>
    <row r="62" ht="15.75" customHeight="1">
      <c r="A62" s="1"/>
      <c r="B62" s="19"/>
      <c r="C62" s="2"/>
      <c r="D62" s="2"/>
      <c r="E62" s="2"/>
      <c r="F62" s="2"/>
      <c r="G62" s="2"/>
      <c r="H62" s="2"/>
      <c r="I62" s="2"/>
    </row>
    <row r="63" ht="15.75" customHeight="1">
      <c r="A63" s="1"/>
      <c r="B63" s="19"/>
      <c r="C63" s="2"/>
      <c r="D63" s="2"/>
      <c r="E63" s="2"/>
      <c r="F63" s="2"/>
      <c r="G63" s="2"/>
      <c r="H63" s="2"/>
      <c r="I63" s="2"/>
    </row>
    <row r="64" ht="15.75" customHeight="1">
      <c r="A64" s="1"/>
      <c r="B64" s="19"/>
      <c r="C64" s="2"/>
      <c r="D64" s="2"/>
      <c r="E64" s="2"/>
      <c r="F64" s="2"/>
      <c r="G64" s="2"/>
      <c r="H64" s="2"/>
      <c r="I64" s="2"/>
    </row>
    <row r="65" ht="15.75" customHeight="1">
      <c r="A65" s="1"/>
      <c r="B65" s="19"/>
      <c r="C65" s="2"/>
      <c r="D65" s="2"/>
      <c r="E65" s="2"/>
      <c r="F65" s="2"/>
      <c r="G65" s="2"/>
      <c r="H65" s="2"/>
      <c r="I65" s="2"/>
    </row>
    <row r="66" ht="15.75" customHeight="1">
      <c r="A66" s="1"/>
      <c r="B66" s="19"/>
      <c r="C66" s="2"/>
      <c r="D66" s="2"/>
      <c r="E66" s="2"/>
      <c r="F66" s="2"/>
      <c r="G66" s="2"/>
      <c r="H66" s="2"/>
      <c r="I66" s="2"/>
    </row>
    <row r="67" ht="15.75" customHeight="1">
      <c r="A67" s="1"/>
      <c r="B67" s="19"/>
      <c r="C67" s="2"/>
      <c r="D67" s="2"/>
      <c r="E67" s="2"/>
      <c r="F67" s="2"/>
      <c r="G67" s="2"/>
      <c r="H67" s="2"/>
      <c r="I67" s="2"/>
    </row>
    <row r="68" ht="15.75" customHeight="1">
      <c r="A68" s="1"/>
      <c r="B68" s="19"/>
      <c r="C68" s="19"/>
      <c r="D68" s="2"/>
      <c r="E68" s="2"/>
      <c r="F68" s="2"/>
      <c r="G68" s="2"/>
      <c r="H68" s="2"/>
      <c r="I68" s="2"/>
    </row>
    <row r="69" ht="15.75" customHeight="1">
      <c r="A69" s="1"/>
      <c r="B69" s="19"/>
      <c r="C69" s="2"/>
      <c r="D69" s="2"/>
      <c r="E69" s="2"/>
      <c r="F69" s="2"/>
      <c r="G69" s="2"/>
      <c r="H69" s="2"/>
      <c r="I69" s="2"/>
    </row>
    <row r="70" ht="15.75" customHeight="1">
      <c r="A70" s="1"/>
      <c r="B70" s="19"/>
      <c r="C70" s="19"/>
      <c r="D70" s="2"/>
      <c r="E70" s="2"/>
      <c r="F70" s="2"/>
      <c r="G70" s="2"/>
      <c r="H70" s="2"/>
      <c r="I70" s="2"/>
    </row>
    <row r="71" ht="15.75" customHeight="1">
      <c r="A71" s="1"/>
      <c r="B71" s="19"/>
      <c r="C71" s="2"/>
      <c r="D71" s="2"/>
      <c r="E71" s="2"/>
      <c r="F71" s="2"/>
      <c r="G71" s="2"/>
      <c r="H71" s="2"/>
      <c r="I71" s="2"/>
    </row>
  </sheetData>
  <mergeCells count="3">
    <mergeCell ref="C4:C5"/>
    <mergeCell ref="F4:F5"/>
    <mergeCell ref="I4:I5"/>
  </mergeCells>
  <hyperlinks>
    <hyperlink display="Sign Up" location="null!A4" ref="B15"/>
    <hyperlink display="Verify Email" location="null!A12" ref="B16"/>
    <hyperlink display="Onboarding" location="null!A17" ref="B17"/>
    <hyperlink display="Log In" location="null!A43" ref="B18"/>
    <hyperlink display="Forgot Password" location="null!A54" ref="B19"/>
    <hyperlink display="Reset Password" location="null!A62" ref="B20"/>
    <hyperlink display="Profile Settings" location="null!A71" ref="B21"/>
    <hyperlink display="Dashboard" location="null!A83" ref="B22"/>
    <hyperlink display="Staff - Users" location="null!A110" ref="B23"/>
    <hyperlink display="Staff - Roles" location="null!A134" ref="B24"/>
  </hyperlink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63"/>
    <col customWidth="1" min="4" max="4" width="13.38"/>
    <col customWidth="1" min="5" max="5" width="16.38"/>
  </cols>
  <sheetData>
    <row r="4">
      <c r="A4" s="27" t="s">
        <v>71</v>
      </c>
    </row>
    <row r="6">
      <c r="A6" s="27" t="s">
        <v>16</v>
      </c>
      <c r="B6" s="27" t="s">
        <v>72</v>
      </c>
      <c r="D6" s="28">
        <f>(E6+E7)/14</f>
        <v>0.5714285714</v>
      </c>
      <c r="E6" s="27">
        <f>COUNTIF(B6:B19,"Done")</f>
        <v>8</v>
      </c>
    </row>
    <row r="7">
      <c r="A7" s="27" t="s">
        <v>73</v>
      </c>
      <c r="B7" s="27" t="s">
        <v>72</v>
      </c>
      <c r="E7" s="29">
        <f>COUNTIF(B6:B19,"Partial")</f>
        <v>0</v>
      </c>
    </row>
    <row r="8">
      <c r="A8" s="27" t="s">
        <v>29</v>
      </c>
      <c r="B8" s="27" t="s">
        <v>72</v>
      </c>
    </row>
    <row r="9">
      <c r="A9" s="27" t="s">
        <v>74</v>
      </c>
      <c r="B9" s="27" t="s">
        <v>75</v>
      </c>
      <c r="C9" s="30" t="s">
        <v>76</v>
      </c>
      <c r="D9" s="30" t="s">
        <v>77</v>
      </c>
      <c r="E9" s="30" t="s">
        <v>78</v>
      </c>
      <c r="F9" s="30" t="s">
        <v>79</v>
      </c>
    </row>
    <row r="10">
      <c r="A10" s="27" t="s">
        <v>80</v>
      </c>
      <c r="B10" s="27" t="s">
        <v>81</v>
      </c>
      <c r="C10" s="27" t="s">
        <v>82</v>
      </c>
      <c r="D10" s="27" t="s">
        <v>83</v>
      </c>
      <c r="E10" s="27" t="s">
        <v>84</v>
      </c>
    </row>
    <row r="11">
      <c r="A11" s="27" t="s">
        <v>85</v>
      </c>
    </row>
    <row r="12">
      <c r="A12" s="27" t="s">
        <v>86</v>
      </c>
      <c r="B12" s="27" t="s">
        <v>72</v>
      </c>
    </row>
    <row r="13">
      <c r="A13" s="27" t="s">
        <v>87</v>
      </c>
      <c r="B13" s="27" t="s">
        <v>72</v>
      </c>
      <c r="E13" s="31">
        <f>(D6+D23)/2</f>
        <v>0.4285714286</v>
      </c>
    </row>
    <row r="14">
      <c r="A14" s="27" t="s">
        <v>88</v>
      </c>
      <c r="B14" s="27" t="s">
        <v>72</v>
      </c>
    </row>
    <row r="15">
      <c r="A15" s="27" t="s">
        <v>89</v>
      </c>
    </row>
    <row r="16">
      <c r="A16" s="27" t="s">
        <v>90</v>
      </c>
      <c r="B16" s="27" t="s">
        <v>72</v>
      </c>
    </row>
    <row r="17">
      <c r="A17" s="27" t="s">
        <v>91</v>
      </c>
      <c r="B17" s="27" t="s">
        <v>92</v>
      </c>
    </row>
    <row r="18">
      <c r="A18" s="27" t="s">
        <v>93</v>
      </c>
      <c r="B18" s="27" t="s">
        <v>72</v>
      </c>
    </row>
    <row r="19">
      <c r="A19" s="27" t="s">
        <v>94</v>
      </c>
      <c r="B19" s="27" t="s">
        <v>95</v>
      </c>
      <c r="C19" s="27" t="s">
        <v>96</v>
      </c>
    </row>
    <row r="21">
      <c r="A21" s="27" t="s">
        <v>97</v>
      </c>
    </row>
    <row r="23">
      <c r="A23" s="27" t="s">
        <v>16</v>
      </c>
      <c r="B23" s="27" t="s">
        <v>72</v>
      </c>
      <c r="D23" s="28">
        <f>(E23+E24)/14</f>
        <v>0.2857142857</v>
      </c>
      <c r="E23" s="27">
        <f>COUNTIF(B23:B36,"Done")</f>
        <v>4</v>
      </c>
    </row>
    <row r="24">
      <c r="A24" s="27" t="s">
        <v>73</v>
      </c>
      <c r="B24" s="27" t="s">
        <v>72</v>
      </c>
      <c r="E24" s="29">
        <f>COUNTIF(B23:B35,"Partial")</f>
        <v>0</v>
      </c>
    </row>
    <row r="25">
      <c r="A25" s="27" t="s">
        <v>29</v>
      </c>
      <c r="B25" s="27" t="s">
        <v>72</v>
      </c>
    </row>
    <row r="26">
      <c r="A26" s="27" t="s">
        <v>74</v>
      </c>
      <c r="B26" s="27" t="s">
        <v>98</v>
      </c>
      <c r="C26" s="27" t="s">
        <v>99</v>
      </c>
      <c r="D26" s="27" t="s">
        <v>100</v>
      </c>
      <c r="E26" s="27" t="s">
        <v>101</v>
      </c>
    </row>
    <row r="27">
      <c r="A27" s="27" t="s">
        <v>102</v>
      </c>
      <c r="B27" s="27" t="s">
        <v>103</v>
      </c>
      <c r="C27" s="27" t="s">
        <v>82</v>
      </c>
      <c r="D27" s="27" t="s">
        <v>99</v>
      </c>
      <c r="E27" s="27" t="s">
        <v>104</v>
      </c>
    </row>
    <row r="28">
      <c r="A28" s="27" t="s">
        <v>105</v>
      </c>
      <c r="B28" s="27" t="s">
        <v>82</v>
      </c>
      <c r="C28" s="27" t="s">
        <v>99</v>
      </c>
      <c r="D28" s="27" t="s">
        <v>104</v>
      </c>
    </row>
    <row r="29">
      <c r="A29" s="27" t="s">
        <v>106</v>
      </c>
      <c r="B29" s="27" t="s">
        <v>82</v>
      </c>
      <c r="C29" s="27" t="s">
        <v>99</v>
      </c>
      <c r="D29" s="27" t="s">
        <v>107</v>
      </c>
    </row>
    <row r="30">
      <c r="A30" s="27" t="s">
        <v>108</v>
      </c>
      <c r="B30" s="27" t="s">
        <v>82</v>
      </c>
      <c r="C30" s="27" t="s">
        <v>99</v>
      </c>
      <c r="D30" s="27" t="s">
        <v>109</v>
      </c>
    </row>
    <row r="31">
      <c r="A31" s="27" t="s">
        <v>110</v>
      </c>
    </row>
    <row r="32">
      <c r="A32" s="27" t="s">
        <v>111</v>
      </c>
      <c r="B32" s="27" t="s">
        <v>99</v>
      </c>
      <c r="C32" s="27" t="s">
        <v>112</v>
      </c>
      <c r="D32" s="27" t="s">
        <v>113</v>
      </c>
    </row>
    <row r="33">
      <c r="A33" s="27" t="s">
        <v>114</v>
      </c>
    </row>
    <row r="34">
      <c r="A34" s="27" t="s">
        <v>115</v>
      </c>
      <c r="B34" s="27" t="s">
        <v>116</v>
      </c>
      <c r="C34" s="27" t="s">
        <v>117</v>
      </c>
      <c r="D34" s="27" t="s">
        <v>118</v>
      </c>
      <c r="E34" s="27" t="s">
        <v>99</v>
      </c>
    </row>
    <row r="35">
      <c r="A35" s="27" t="s">
        <v>90</v>
      </c>
      <c r="B35" s="27" t="s">
        <v>72</v>
      </c>
    </row>
    <row r="36">
      <c r="A36" s="27" t="s">
        <v>91</v>
      </c>
      <c r="B36" s="27" t="s">
        <v>92</v>
      </c>
    </row>
    <row r="37">
      <c r="A37" s="27" t="s">
        <v>119</v>
      </c>
      <c r="B37" s="27" t="s">
        <v>120</v>
      </c>
      <c r="C37" s="27" t="s">
        <v>121</v>
      </c>
      <c r="D37" s="27" t="s">
        <v>122</v>
      </c>
      <c r="E37" s="27" t="s">
        <v>123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25"/>
    <col customWidth="1" min="2" max="2" width="56.5"/>
    <col customWidth="1" min="3" max="3" width="33.0"/>
    <col customWidth="1" min="4" max="4" width="30.88"/>
  </cols>
  <sheetData>
    <row r="1">
      <c r="A1" s="27" t="s">
        <v>124</v>
      </c>
      <c r="C1" s="27" t="s">
        <v>125</v>
      </c>
    </row>
    <row r="3">
      <c r="A3" s="27" t="s">
        <v>126</v>
      </c>
      <c r="C3" s="27" t="s">
        <v>126</v>
      </c>
    </row>
    <row r="4">
      <c r="A4" s="27" t="s">
        <v>127</v>
      </c>
      <c r="B4" s="32" t="s">
        <v>128</v>
      </c>
      <c r="C4" s="27" t="s">
        <v>129</v>
      </c>
    </row>
    <row r="5">
      <c r="A5" s="27" t="s">
        <v>130</v>
      </c>
      <c r="B5" s="33" t="s">
        <v>131</v>
      </c>
      <c r="C5" s="27" t="s">
        <v>130</v>
      </c>
      <c r="D5" s="34" t="s">
        <v>131</v>
      </c>
    </row>
    <row r="6">
      <c r="B6" s="33" t="s">
        <v>132</v>
      </c>
      <c r="D6" s="34" t="s">
        <v>132</v>
      </c>
    </row>
    <row r="7">
      <c r="B7" s="33" t="s">
        <v>133</v>
      </c>
      <c r="D7" s="34" t="s">
        <v>133</v>
      </c>
    </row>
    <row r="8">
      <c r="A8" s="27" t="s">
        <v>134</v>
      </c>
      <c r="C8" s="27" t="s">
        <v>135</v>
      </c>
    </row>
    <row r="9">
      <c r="A9" s="27" t="s">
        <v>136</v>
      </c>
      <c r="B9" s="32" t="s">
        <v>137</v>
      </c>
      <c r="C9" s="27" t="s">
        <v>138</v>
      </c>
      <c r="D9" s="33" t="s">
        <v>139</v>
      </c>
    </row>
    <row r="10">
      <c r="C10" s="27" t="s">
        <v>140</v>
      </c>
      <c r="D10" s="33" t="s">
        <v>141</v>
      </c>
    </row>
    <row r="11">
      <c r="A11" s="27" t="s">
        <v>142</v>
      </c>
      <c r="C11" s="27" t="s">
        <v>143</v>
      </c>
      <c r="D11" s="32" t="s">
        <v>144</v>
      </c>
    </row>
    <row r="12">
      <c r="A12" s="27" t="s">
        <v>145</v>
      </c>
      <c r="C12" s="27" t="s">
        <v>146</v>
      </c>
      <c r="D12" s="33" t="s">
        <v>141</v>
      </c>
    </row>
    <row r="13">
      <c r="C13" s="27" t="s">
        <v>147</v>
      </c>
    </row>
    <row r="14">
      <c r="C14" s="27" t="s">
        <v>148</v>
      </c>
    </row>
    <row r="15">
      <c r="A15" s="27" t="s">
        <v>149</v>
      </c>
      <c r="C15" s="27" t="s">
        <v>136</v>
      </c>
      <c r="D15" s="33" t="s">
        <v>141</v>
      </c>
    </row>
    <row r="16">
      <c r="A16" s="27" t="s">
        <v>150</v>
      </c>
      <c r="C16" s="27" t="s">
        <v>151</v>
      </c>
      <c r="D16" s="33" t="s">
        <v>152</v>
      </c>
    </row>
    <row r="17">
      <c r="A17" s="27" t="s">
        <v>153</v>
      </c>
      <c r="C17" s="27" t="s">
        <v>154</v>
      </c>
      <c r="D17" s="33" t="s">
        <v>155</v>
      </c>
    </row>
    <row r="18">
      <c r="A18" s="27" t="s">
        <v>156</v>
      </c>
    </row>
    <row r="19">
      <c r="A19" s="27" t="s">
        <v>157</v>
      </c>
      <c r="C19" s="27" t="s">
        <v>158</v>
      </c>
    </row>
    <row r="20">
      <c r="C20" s="27" t="s">
        <v>159</v>
      </c>
    </row>
    <row r="21">
      <c r="A21" s="27" t="s">
        <v>160</v>
      </c>
      <c r="C21" s="27" t="s">
        <v>161</v>
      </c>
    </row>
    <row r="22">
      <c r="A22" s="27" t="s">
        <v>162</v>
      </c>
      <c r="C22" s="27" t="s">
        <v>163</v>
      </c>
    </row>
    <row r="23">
      <c r="A23" s="27" t="s">
        <v>127</v>
      </c>
      <c r="C23" s="27" t="s">
        <v>164</v>
      </c>
    </row>
    <row r="24">
      <c r="A24" s="27" t="s">
        <v>136</v>
      </c>
    </row>
    <row r="25">
      <c r="A25" s="27" t="s">
        <v>165</v>
      </c>
      <c r="C25" s="27" t="s">
        <v>166</v>
      </c>
    </row>
    <row r="26">
      <c r="A26" s="27" t="s">
        <v>167</v>
      </c>
      <c r="C26" s="27" t="s">
        <v>168</v>
      </c>
      <c r="D26" s="27" t="s">
        <v>169</v>
      </c>
    </row>
    <row r="27">
      <c r="C27" s="27" t="s">
        <v>170</v>
      </c>
      <c r="D27" s="33" t="s">
        <v>131</v>
      </c>
    </row>
    <row r="28">
      <c r="A28" s="27" t="s">
        <v>171</v>
      </c>
      <c r="D28" s="33" t="s">
        <v>132</v>
      </c>
    </row>
    <row r="29">
      <c r="A29" s="27" t="s">
        <v>172</v>
      </c>
      <c r="B29" s="32" t="s">
        <v>139</v>
      </c>
      <c r="D29" s="33" t="s">
        <v>133</v>
      </c>
    </row>
    <row r="30">
      <c r="A30" s="27" t="s">
        <v>173</v>
      </c>
      <c r="B30" s="33" t="s">
        <v>174</v>
      </c>
      <c r="C30" s="27" t="s">
        <v>175</v>
      </c>
      <c r="D30" s="33" t="s">
        <v>131</v>
      </c>
    </row>
    <row r="31">
      <c r="A31" s="27" t="s">
        <v>176</v>
      </c>
      <c r="B31" s="27" t="s">
        <v>177</v>
      </c>
      <c r="D31" s="33" t="s">
        <v>132</v>
      </c>
    </row>
    <row r="32">
      <c r="A32" s="27" t="s">
        <v>178</v>
      </c>
      <c r="B32" s="33" t="s">
        <v>141</v>
      </c>
      <c r="D32" s="33" t="s">
        <v>133</v>
      </c>
    </row>
    <row r="33">
      <c r="A33" s="27" t="s">
        <v>179</v>
      </c>
      <c r="B33" s="32" t="s">
        <v>144</v>
      </c>
    </row>
    <row r="34">
      <c r="A34" s="27" t="s">
        <v>180</v>
      </c>
      <c r="B34" s="33" t="s">
        <v>141</v>
      </c>
      <c r="C34" s="27" t="s">
        <v>181</v>
      </c>
    </row>
    <row r="35">
      <c r="A35" s="27" t="s">
        <v>182</v>
      </c>
      <c r="B35" s="33" t="s">
        <v>152</v>
      </c>
      <c r="C35" s="27" t="s">
        <v>183</v>
      </c>
    </row>
    <row r="36">
      <c r="A36" s="27" t="s">
        <v>184</v>
      </c>
      <c r="B36" s="27" t="s">
        <v>185</v>
      </c>
      <c r="C36" s="27" t="s">
        <v>186</v>
      </c>
    </row>
    <row r="37">
      <c r="A37" s="27" t="s">
        <v>187</v>
      </c>
      <c r="C37" s="27" t="s">
        <v>188</v>
      </c>
    </row>
    <row r="38">
      <c r="A38" s="27" t="s">
        <v>189</v>
      </c>
    </row>
    <row r="39">
      <c r="A39" s="27" t="s">
        <v>190</v>
      </c>
      <c r="C39" s="27" t="s">
        <v>191</v>
      </c>
    </row>
    <row r="40">
      <c r="A40" s="27" t="s">
        <v>192</v>
      </c>
      <c r="B40" s="27" t="s">
        <v>193</v>
      </c>
      <c r="C40" s="27" t="s">
        <v>194</v>
      </c>
    </row>
    <row r="41">
      <c r="A41" s="27" t="s">
        <v>195</v>
      </c>
      <c r="B41" s="27" t="s">
        <v>193</v>
      </c>
      <c r="C41" s="27" t="s">
        <v>196</v>
      </c>
    </row>
    <row r="42">
      <c r="A42" s="27" t="s">
        <v>197</v>
      </c>
      <c r="B42" s="27" t="s">
        <v>193</v>
      </c>
    </row>
    <row r="43">
      <c r="A43" s="27" t="s">
        <v>198</v>
      </c>
      <c r="C43" s="27" t="s">
        <v>199</v>
      </c>
    </row>
    <row r="44">
      <c r="C44" s="27" t="s">
        <v>200</v>
      </c>
    </row>
    <row r="45">
      <c r="A45" s="27" t="s">
        <v>166</v>
      </c>
      <c r="C45" s="27" t="s">
        <v>201</v>
      </c>
    </row>
    <row r="46">
      <c r="A46" s="27" t="s">
        <v>168</v>
      </c>
      <c r="B46" s="27" t="s">
        <v>169</v>
      </c>
    </row>
    <row r="47">
      <c r="A47" s="27" t="s">
        <v>170</v>
      </c>
      <c r="B47" s="33" t="s">
        <v>131</v>
      </c>
      <c r="C47" s="27" t="s">
        <v>202</v>
      </c>
    </row>
    <row r="48">
      <c r="B48" s="33" t="s">
        <v>132</v>
      </c>
      <c r="C48" s="27" t="s">
        <v>203</v>
      </c>
    </row>
    <row r="49">
      <c r="B49" s="33" t="s">
        <v>133</v>
      </c>
      <c r="C49" s="27" t="s">
        <v>204</v>
      </c>
    </row>
    <row r="50">
      <c r="A50" s="27" t="s">
        <v>175</v>
      </c>
      <c r="B50" s="33" t="s">
        <v>131</v>
      </c>
      <c r="C50" s="27" t="s">
        <v>205</v>
      </c>
    </row>
    <row r="51">
      <c r="B51" s="33" t="s">
        <v>132</v>
      </c>
    </row>
    <row r="52">
      <c r="B52" s="33" t="s">
        <v>133</v>
      </c>
      <c r="C52" s="27" t="s">
        <v>206</v>
      </c>
    </row>
    <row r="53">
      <c r="C53" s="27" t="s">
        <v>207</v>
      </c>
    </row>
    <row r="54">
      <c r="A54" s="27" t="s">
        <v>73</v>
      </c>
      <c r="C54" s="27" t="s">
        <v>208</v>
      </c>
    </row>
    <row r="55">
      <c r="A55" s="27" t="s">
        <v>209</v>
      </c>
    </row>
    <row r="56">
      <c r="C56" s="27" t="s">
        <v>206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25"/>
    <col customWidth="1" min="2" max="6" width="30.38"/>
    <col customWidth="1" min="7" max="7" width="32.13"/>
    <col customWidth="1" min="8" max="11" width="30.38"/>
  </cols>
  <sheetData>
    <row r="1">
      <c r="A1" s="35" t="s">
        <v>210</v>
      </c>
      <c r="B1" s="36">
        <v>1.0</v>
      </c>
      <c r="C1" s="36">
        <v>2.0</v>
      </c>
      <c r="D1" s="36">
        <v>3.0</v>
      </c>
      <c r="E1" s="36">
        <v>4.0</v>
      </c>
      <c r="F1" s="36">
        <v>5.0</v>
      </c>
      <c r="G1" s="36">
        <v>6.0</v>
      </c>
      <c r="H1" s="36">
        <v>7.0</v>
      </c>
      <c r="I1" s="36">
        <v>8.0</v>
      </c>
      <c r="J1" s="36">
        <v>9.0</v>
      </c>
      <c r="K1" s="36">
        <v>10.0</v>
      </c>
    </row>
    <row r="2">
      <c r="B2" s="37"/>
      <c r="C2" s="37"/>
      <c r="D2" s="37"/>
      <c r="E2" s="38"/>
      <c r="F2" s="38"/>
      <c r="G2" s="38"/>
      <c r="H2" s="38"/>
      <c r="I2" s="38"/>
      <c r="J2" s="38"/>
      <c r="K2" s="38"/>
    </row>
    <row r="3">
      <c r="A3" s="27"/>
      <c r="B3" s="39"/>
      <c r="C3" s="39"/>
      <c r="D3" s="39"/>
      <c r="E3" s="39"/>
      <c r="F3" s="39"/>
      <c r="G3" s="39"/>
      <c r="H3" s="39"/>
      <c r="I3" s="39"/>
      <c r="J3" s="39"/>
      <c r="K3" s="39"/>
    </row>
    <row r="4">
      <c r="A4" s="27"/>
      <c r="B4" s="39"/>
      <c r="C4" s="39"/>
      <c r="D4" s="39"/>
      <c r="E4" s="40"/>
      <c r="F4" s="40"/>
      <c r="G4" s="39"/>
      <c r="H4" s="39"/>
      <c r="I4" s="39"/>
      <c r="J4" s="39"/>
      <c r="K4" s="39"/>
    </row>
    <row r="5">
      <c r="A5" s="27"/>
      <c r="B5" s="39"/>
      <c r="C5" s="39"/>
      <c r="D5" s="39"/>
      <c r="E5" s="40"/>
      <c r="F5" s="40"/>
      <c r="G5" s="39"/>
      <c r="H5" s="39"/>
      <c r="I5" s="39"/>
      <c r="J5" s="38"/>
      <c r="K5" s="38"/>
    </row>
    <row r="6">
      <c r="A6" s="27"/>
      <c r="B6" s="39"/>
      <c r="C6" s="39"/>
      <c r="D6" s="39"/>
      <c r="E6" s="40"/>
      <c r="F6" s="40"/>
      <c r="G6" s="39"/>
      <c r="H6" s="39"/>
      <c r="I6" s="39"/>
      <c r="J6" s="39"/>
      <c r="K6" s="38"/>
    </row>
    <row r="7">
      <c r="A7" s="27"/>
      <c r="B7" s="41"/>
      <c r="C7" s="37"/>
      <c r="D7" s="37"/>
      <c r="E7" s="40"/>
      <c r="F7" s="40"/>
      <c r="G7" s="39"/>
      <c r="H7" s="39"/>
      <c r="I7" s="39"/>
      <c r="J7" s="39"/>
      <c r="K7" s="39"/>
    </row>
    <row r="8">
      <c r="A8" s="27"/>
      <c r="B8" s="39"/>
      <c r="C8" s="39"/>
      <c r="D8" s="39"/>
      <c r="E8" s="40"/>
      <c r="F8" s="40"/>
      <c r="G8" s="39"/>
      <c r="H8" s="39"/>
      <c r="I8" s="39"/>
      <c r="J8" s="39"/>
      <c r="K8" s="39"/>
    </row>
    <row r="9">
      <c r="A9" s="27"/>
      <c r="B9" s="37"/>
      <c r="C9" s="37"/>
      <c r="D9" s="37"/>
      <c r="E9" s="40"/>
      <c r="F9" s="40"/>
      <c r="G9" s="39"/>
      <c r="H9" s="39"/>
      <c r="I9" s="39"/>
      <c r="J9" s="39"/>
      <c r="K9" s="39"/>
    </row>
    <row r="10">
      <c r="A10" s="27"/>
      <c r="B10" s="42"/>
      <c r="C10" s="42"/>
      <c r="D10" s="42"/>
      <c r="E10" s="40"/>
      <c r="F10" s="40"/>
      <c r="G10" s="39"/>
      <c r="H10" s="39"/>
      <c r="I10" s="39"/>
      <c r="J10" s="39"/>
      <c r="K10" s="39"/>
    </row>
    <row r="11">
      <c r="A11" s="27"/>
      <c r="B11" s="42"/>
      <c r="C11" s="42"/>
      <c r="D11" s="42"/>
      <c r="E11" s="43"/>
      <c r="F11" s="43"/>
      <c r="G11" s="43"/>
      <c r="H11" s="43"/>
      <c r="I11" s="43"/>
      <c r="J11" s="43"/>
      <c r="K11" s="43"/>
    </row>
    <row r="12">
      <c r="A12" s="27"/>
      <c r="B12" s="37"/>
      <c r="C12" s="37"/>
      <c r="D12" s="37"/>
      <c r="E12" s="38"/>
      <c r="F12" s="38"/>
      <c r="G12" s="38"/>
      <c r="H12" s="38"/>
      <c r="I12" s="38"/>
      <c r="J12" s="38"/>
      <c r="K12" s="38"/>
    </row>
    <row r="13">
      <c r="A13" s="27"/>
      <c r="B13" s="39"/>
      <c r="C13" s="39"/>
      <c r="D13" s="39"/>
      <c r="E13" s="40"/>
      <c r="F13" s="40"/>
      <c r="G13" s="39"/>
      <c r="H13" s="39"/>
      <c r="I13" s="39"/>
      <c r="J13" s="39"/>
      <c r="K13" s="39"/>
    </row>
    <row r="14">
      <c r="A14" s="27"/>
      <c r="B14" s="37"/>
      <c r="C14" s="37"/>
      <c r="D14" s="37"/>
      <c r="E14" s="40"/>
      <c r="F14" s="40"/>
      <c r="G14" s="39"/>
      <c r="H14" s="39"/>
      <c r="I14" s="39"/>
      <c r="J14" s="39"/>
      <c r="K14" s="39"/>
    </row>
    <row r="15">
      <c r="A15" s="27"/>
      <c r="B15" s="39"/>
      <c r="C15" s="39"/>
      <c r="D15" s="39"/>
      <c r="E15" s="40"/>
      <c r="F15" s="40"/>
      <c r="G15" s="39"/>
      <c r="H15" s="39"/>
      <c r="I15" s="39"/>
      <c r="J15" s="39"/>
      <c r="K15" s="44"/>
    </row>
    <row r="16">
      <c r="A16" s="27"/>
      <c r="B16" s="42"/>
      <c r="C16" s="42"/>
      <c r="D16" s="42"/>
      <c r="E16" s="45"/>
      <c r="F16" s="45"/>
      <c r="G16" s="46"/>
      <c r="H16" s="44"/>
      <c r="I16" s="44"/>
      <c r="J16" s="44"/>
      <c r="K16" s="47"/>
    </row>
    <row r="17">
      <c r="A17" s="27"/>
      <c r="B17" s="39"/>
      <c r="C17" s="39"/>
      <c r="D17" s="39"/>
      <c r="E17" s="45"/>
      <c r="F17" s="45"/>
      <c r="G17" s="44"/>
      <c r="H17" s="44"/>
      <c r="I17" s="44"/>
      <c r="J17" s="38"/>
      <c r="K17" s="38"/>
    </row>
    <row r="18">
      <c r="A18" s="27"/>
      <c r="B18" s="48"/>
      <c r="C18" s="49"/>
      <c r="D18" s="48"/>
      <c r="E18" s="50"/>
      <c r="F18" s="51"/>
      <c r="G18" s="52"/>
      <c r="H18" s="52"/>
      <c r="I18" s="53"/>
      <c r="J18" s="53"/>
      <c r="K18" s="53"/>
    </row>
    <row r="19">
      <c r="A19" s="27"/>
      <c r="B19" s="37"/>
      <c r="C19" s="37"/>
      <c r="D19" s="37"/>
      <c r="E19" s="45"/>
      <c r="F19" s="45"/>
      <c r="G19" s="44"/>
      <c r="H19" s="44"/>
      <c r="I19" s="44"/>
      <c r="J19" s="44"/>
      <c r="K19" s="44"/>
    </row>
    <row r="20">
      <c r="A20" s="27"/>
      <c r="B20" s="37"/>
      <c r="C20" s="37"/>
      <c r="D20" s="37"/>
      <c r="E20" s="38"/>
      <c r="F20" s="38"/>
      <c r="G20" s="38"/>
      <c r="H20" s="38"/>
      <c r="I20" s="38"/>
      <c r="J20" s="38"/>
      <c r="K20" s="38"/>
    </row>
    <row r="21">
      <c r="A21" s="27"/>
      <c r="B21" s="37"/>
      <c r="C21" s="37"/>
      <c r="D21" s="37"/>
      <c r="E21" s="38"/>
      <c r="F21" s="38"/>
      <c r="G21" s="38"/>
      <c r="H21" s="38"/>
      <c r="I21" s="38"/>
      <c r="J21" s="38"/>
      <c r="K21" s="38"/>
    </row>
    <row r="22">
      <c r="A22" s="27"/>
      <c r="B22" s="37"/>
      <c r="C22" s="37"/>
      <c r="D22" s="37"/>
      <c r="E22" s="38"/>
      <c r="F22" s="38"/>
      <c r="G22" s="38"/>
      <c r="H22" s="38"/>
      <c r="I22" s="38"/>
      <c r="J22" s="38"/>
      <c r="K22" s="38"/>
    </row>
    <row r="23">
      <c r="B23" s="37"/>
      <c r="C23" s="37"/>
      <c r="D23" s="37"/>
      <c r="E23" s="38"/>
      <c r="F23" s="38"/>
      <c r="G23" s="38"/>
      <c r="H23" s="38"/>
      <c r="I23" s="38"/>
      <c r="J23" s="38"/>
      <c r="K23" s="38"/>
    </row>
    <row r="24">
      <c r="A24" s="54" t="s">
        <v>211</v>
      </c>
      <c r="B24" s="55"/>
      <c r="C24" s="55"/>
      <c r="D24" s="55"/>
      <c r="E24" s="56"/>
      <c r="F24" s="56"/>
      <c r="G24" s="56"/>
      <c r="H24" s="56"/>
      <c r="I24" s="56"/>
      <c r="J24" s="56"/>
      <c r="K24" s="56"/>
    </row>
    <row r="25">
      <c r="B25" s="37"/>
      <c r="C25" s="37"/>
      <c r="D25" s="37"/>
      <c r="E25" s="38"/>
      <c r="F25" s="38"/>
      <c r="G25" s="38"/>
      <c r="H25" s="38"/>
      <c r="I25" s="38"/>
      <c r="J25" s="38"/>
      <c r="K25" s="38"/>
    </row>
    <row r="26">
      <c r="B26" s="37"/>
      <c r="C26" s="37"/>
      <c r="D26" s="37"/>
      <c r="E26" s="38"/>
      <c r="F26" s="38"/>
      <c r="G26" s="38"/>
      <c r="H26" s="38"/>
      <c r="I26" s="38"/>
      <c r="J26" s="38"/>
      <c r="K26" s="38"/>
    </row>
    <row r="27">
      <c r="A27" s="27"/>
      <c r="B27" s="37"/>
      <c r="C27" s="37"/>
      <c r="D27" s="37"/>
      <c r="E27" s="38"/>
      <c r="F27" s="38"/>
      <c r="G27" s="38"/>
      <c r="H27" s="38"/>
      <c r="I27" s="38"/>
      <c r="J27" s="38"/>
      <c r="K27" s="38"/>
    </row>
    <row r="28">
      <c r="A28" s="27"/>
      <c r="B28" s="40"/>
      <c r="C28" s="40"/>
      <c r="D28" s="40"/>
      <c r="E28" s="57"/>
      <c r="F28" s="38"/>
      <c r="G28" s="38"/>
      <c r="H28" s="38"/>
      <c r="I28" s="38"/>
      <c r="J28" s="38"/>
      <c r="K28" s="38"/>
    </row>
    <row r="29">
      <c r="A29" s="27"/>
      <c r="B29" s="38"/>
      <c r="C29" s="37"/>
      <c r="D29" s="37"/>
      <c r="E29" s="57"/>
      <c r="F29" s="38"/>
      <c r="G29" s="38"/>
      <c r="H29" s="38"/>
      <c r="I29" s="38"/>
      <c r="J29" s="38"/>
      <c r="K29" s="38"/>
    </row>
    <row r="30">
      <c r="A30" s="27"/>
      <c r="B30" s="40"/>
      <c r="C30" s="40"/>
      <c r="D30" s="40"/>
      <c r="E30" s="57"/>
      <c r="F30" s="38"/>
      <c r="G30" s="38"/>
      <c r="H30" s="38"/>
      <c r="I30" s="38"/>
      <c r="J30" s="38"/>
      <c r="K30" s="38"/>
    </row>
    <row r="31">
      <c r="A31" s="27"/>
      <c r="B31" s="40"/>
      <c r="C31" s="40"/>
      <c r="D31" s="40"/>
      <c r="E31" s="37"/>
      <c r="F31" s="38"/>
      <c r="G31" s="38"/>
      <c r="H31" s="38"/>
      <c r="I31" s="38"/>
      <c r="J31" s="38"/>
      <c r="K31" s="38"/>
    </row>
    <row r="32">
      <c r="A32" s="27"/>
      <c r="B32" s="40"/>
      <c r="C32" s="40"/>
      <c r="D32" s="40"/>
      <c r="E32" s="41"/>
      <c r="F32" s="38"/>
      <c r="G32" s="38"/>
      <c r="H32" s="38"/>
      <c r="I32" s="38"/>
      <c r="J32" s="38"/>
      <c r="K32" s="38"/>
    </row>
    <row r="33">
      <c r="A33" s="27"/>
      <c r="B33" s="38"/>
      <c r="C33" s="37"/>
      <c r="D33" s="37"/>
      <c r="E33" s="41"/>
      <c r="F33" s="38"/>
      <c r="G33" s="38"/>
      <c r="H33" s="38"/>
      <c r="I33" s="38"/>
      <c r="J33" s="38"/>
      <c r="K33" s="38"/>
    </row>
    <row r="34">
      <c r="A34" s="27"/>
      <c r="B34" s="38"/>
      <c r="C34" s="37"/>
      <c r="D34" s="37"/>
      <c r="E34" s="41"/>
      <c r="F34" s="38"/>
      <c r="G34" s="38"/>
      <c r="H34" s="38"/>
      <c r="I34" s="38"/>
      <c r="J34" s="38"/>
      <c r="K34" s="38"/>
    </row>
    <row r="35">
      <c r="A35" s="27"/>
      <c r="B35" s="40"/>
      <c r="C35" s="40"/>
      <c r="D35" s="40"/>
      <c r="E35" s="41"/>
      <c r="F35" s="38"/>
      <c r="G35" s="38"/>
      <c r="H35" s="38"/>
      <c r="I35" s="38"/>
      <c r="J35" s="38"/>
      <c r="K35" s="38"/>
    </row>
    <row r="36">
      <c r="A36" s="27"/>
      <c r="B36" s="40"/>
      <c r="C36" s="40"/>
      <c r="D36" s="40"/>
      <c r="E36" s="41"/>
      <c r="F36" s="38"/>
      <c r="G36" s="38"/>
      <c r="H36" s="38"/>
      <c r="I36" s="38"/>
      <c r="J36" s="38"/>
      <c r="K36" s="38"/>
    </row>
    <row r="37">
      <c r="A37" s="27"/>
      <c r="B37" s="38"/>
      <c r="C37" s="37"/>
      <c r="D37" s="37"/>
      <c r="E37" s="41"/>
      <c r="F37" s="38"/>
      <c r="G37" s="38"/>
      <c r="H37" s="38"/>
      <c r="I37" s="38"/>
      <c r="J37" s="38"/>
      <c r="K37" s="38"/>
    </row>
    <row r="38">
      <c r="B38" s="38"/>
      <c r="C38" s="37"/>
      <c r="D38" s="37"/>
      <c r="E38" s="37"/>
      <c r="F38" s="38"/>
      <c r="G38" s="38"/>
      <c r="H38" s="38"/>
      <c r="I38" s="38"/>
      <c r="J38" s="38"/>
      <c r="K38" s="38"/>
    </row>
    <row r="39">
      <c r="B39" s="38"/>
      <c r="C39" s="37"/>
      <c r="D39" s="37"/>
      <c r="E39" s="37"/>
      <c r="F39" s="38"/>
      <c r="G39" s="38"/>
      <c r="H39" s="38"/>
      <c r="I39" s="38"/>
      <c r="J39" s="38"/>
      <c r="K39" s="38"/>
    </row>
    <row r="40">
      <c r="B40" s="38"/>
      <c r="C40" s="37"/>
      <c r="D40" s="37"/>
      <c r="E40" s="41"/>
      <c r="F40" s="38"/>
      <c r="G40" s="38"/>
      <c r="H40" s="38"/>
      <c r="I40" s="38"/>
      <c r="J40" s="38"/>
      <c r="K40" s="38"/>
    </row>
    <row r="41">
      <c r="B41" s="37"/>
      <c r="C41" s="37"/>
      <c r="D41" s="37"/>
      <c r="E41" s="38"/>
      <c r="F41" s="38"/>
      <c r="G41" s="38"/>
      <c r="H41" s="38"/>
      <c r="I41" s="38"/>
      <c r="J41" s="38"/>
      <c r="K41" s="38"/>
    </row>
    <row r="42">
      <c r="A42" s="27"/>
      <c r="B42" s="37"/>
      <c r="C42" s="37"/>
      <c r="D42" s="37"/>
      <c r="E42" s="38"/>
      <c r="F42" s="38"/>
      <c r="G42" s="38"/>
      <c r="H42" s="38"/>
      <c r="I42" s="38"/>
      <c r="J42" s="38"/>
      <c r="K42" s="38"/>
    </row>
    <row r="43">
      <c r="A43" s="27"/>
      <c r="B43" s="37"/>
      <c r="C43" s="37"/>
      <c r="D43" s="37"/>
      <c r="E43" s="38"/>
      <c r="F43" s="38"/>
      <c r="G43" s="38"/>
      <c r="H43" s="38"/>
      <c r="I43" s="38"/>
      <c r="J43" s="38"/>
      <c r="K43" s="38"/>
    </row>
    <row r="44">
      <c r="A44" s="27"/>
      <c r="B44" s="37"/>
      <c r="C44" s="37"/>
      <c r="D44" s="37"/>
      <c r="E44" s="38"/>
      <c r="F44" s="38"/>
      <c r="G44" s="38"/>
      <c r="H44" s="38"/>
      <c r="I44" s="38"/>
      <c r="J44" s="38"/>
      <c r="K44" s="38"/>
    </row>
    <row r="45">
      <c r="A45" s="27"/>
      <c r="B45" s="37"/>
      <c r="C45" s="37"/>
      <c r="D45" s="37"/>
      <c r="E45" s="38"/>
      <c r="F45" s="38"/>
      <c r="G45" s="38"/>
      <c r="H45" s="38"/>
      <c r="I45" s="38"/>
      <c r="J45" s="38"/>
      <c r="K45" s="38"/>
    </row>
    <row r="46">
      <c r="A46" s="27"/>
      <c r="B46" s="37"/>
      <c r="C46" s="37"/>
      <c r="D46" s="37"/>
      <c r="E46" s="38"/>
      <c r="F46" s="38"/>
      <c r="G46" s="38"/>
      <c r="H46" s="38"/>
      <c r="I46" s="38"/>
      <c r="J46" s="38"/>
      <c r="K46" s="38"/>
    </row>
    <row r="47">
      <c r="B47" s="37"/>
      <c r="C47" s="37"/>
      <c r="D47" s="37"/>
      <c r="E47" s="38"/>
      <c r="F47" s="38"/>
      <c r="G47" s="38"/>
      <c r="H47" s="38"/>
      <c r="I47" s="38"/>
      <c r="J47" s="38"/>
      <c r="K47" s="38"/>
    </row>
    <row r="48">
      <c r="A48" s="27"/>
      <c r="B48" s="37"/>
      <c r="C48" s="37"/>
      <c r="D48" s="37"/>
      <c r="E48" s="38"/>
      <c r="F48" s="38"/>
      <c r="G48" s="38"/>
      <c r="H48" s="38"/>
      <c r="I48" s="38"/>
      <c r="J48" s="38"/>
      <c r="K48" s="38"/>
    </row>
    <row r="49">
      <c r="A49" s="27"/>
      <c r="B49" s="37"/>
      <c r="C49" s="37"/>
      <c r="D49" s="37"/>
      <c r="E49" s="38"/>
      <c r="F49" s="38"/>
      <c r="G49" s="38"/>
      <c r="H49" s="38"/>
      <c r="I49" s="38"/>
      <c r="J49" s="38"/>
      <c r="K49" s="38"/>
    </row>
    <row r="50">
      <c r="A50" s="27"/>
      <c r="B50" s="41"/>
      <c r="C50" s="37"/>
      <c r="D50" s="37"/>
      <c r="E50" s="38"/>
      <c r="F50" s="38"/>
      <c r="G50" s="38"/>
      <c r="H50" s="38"/>
      <c r="I50" s="38"/>
      <c r="J50" s="38"/>
      <c r="K50" s="38"/>
    </row>
    <row r="51">
      <c r="B51" s="41"/>
      <c r="C51" s="37"/>
      <c r="D51" s="37"/>
      <c r="E51" s="38"/>
      <c r="F51" s="38"/>
      <c r="G51" s="38"/>
      <c r="H51" s="38"/>
      <c r="I51" s="38"/>
      <c r="J51" s="38"/>
      <c r="K51" s="38"/>
    </row>
    <row r="52">
      <c r="B52" s="41"/>
      <c r="C52" s="37"/>
      <c r="D52" s="37"/>
      <c r="E52" s="38"/>
      <c r="F52" s="38"/>
      <c r="G52" s="38"/>
      <c r="H52" s="38"/>
      <c r="I52" s="38"/>
      <c r="J52" s="38"/>
      <c r="K52" s="38"/>
    </row>
    <row r="53">
      <c r="A53" s="27"/>
      <c r="B53" s="41"/>
      <c r="C53" s="37"/>
      <c r="D53" s="37"/>
      <c r="E53" s="38"/>
      <c r="F53" s="38"/>
      <c r="G53" s="38"/>
      <c r="H53" s="38"/>
      <c r="I53" s="38"/>
      <c r="J53" s="38"/>
      <c r="K53" s="38"/>
    </row>
    <row r="54">
      <c r="B54" s="41"/>
      <c r="C54" s="37"/>
      <c r="D54" s="37"/>
      <c r="E54" s="38"/>
      <c r="F54" s="38"/>
      <c r="G54" s="38"/>
      <c r="H54" s="38"/>
      <c r="I54" s="38"/>
      <c r="J54" s="38"/>
      <c r="K54" s="38"/>
    </row>
    <row r="55">
      <c r="B55" s="41"/>
      <c r="C55" s="37"/>
      <c r="D55" s="37"/>
      <c r="E55" s="38"/>
      <c r="F55" s="38"/>
      <c r="G55" s="38"/>
      <c r="H55" s="38"/>
      <c r="I55" s="38"/>
      <c r="J55" s="38"/>
      <c r="K55" s="38"/>
    </row>
    <row r="56">
      <c r="B56" s="37"/>
      <c r="C56" s="37"/>
      <c r="D56" s="37"/>
      <c r="E56" s="38"/>
      <c r="F56" s="38"/>
      <c r="G56" s="38"/>
      <c r="H56" s="38"/>
      <c r="I56" s="38"/>
      <c r="J56" s="38"/>
      <c r="K56" s="38"/>
    </row>
    <row r="57">
      <c r="A57" s="27"/>
      <c r="B57" s="37"/>
      <c r="C57" s="37"/>
      <c r="D57" s="37"/>
      <c r="E57" s="38"/>
      <c r="F57" s="38"/>
      <c r="G57" s="38"/>
      <c r="H57" s="38"/>
      <c r="I57" s="38"/>
      <c r="J57" s="38"/>
      <c r="K57" s="38"/>
    </row>
    <row r="58">
      <c r="A58" s="27"/>
      <c r="B58" s="37"/>
      <c r="C58" s="37"/>
      <c r="D58" s="37"/>
      <c r="E58" s="38"/>
      <c r="F58" s="38"/>
      <c r="G58" s="38"/>
      <c r="H58" s="38"/>
      <c r="I58" s="38"/>
      <c r="J58" s="38"/>
      <c r="K58" s="38"/>
    </row>
    <row r="59">
      <c r="A59" s="27"/>
      <c r="B59" s="37"/>
      <c r="C59" s="37"/>
      <c r="D59" s="37"/>
      <c r="E59" s="38"/>
      <c r="F59" s="38"/>
      <c r="G59" s="38"/>
      <c r="H59" s="38"/>
      <c r="I59" s="38"/>
      <c r="J59" s="38"/>
      <c r="K59" s="38"/>
    </row>
    <row r="60">
      <c r="A60" s="27"/>
      <c r="B60" s="37"/>
      <c r="C60" s="37"/>
      <c r="D60" s="37"/>
      <c r="E60" s="38"/>
      <c r="F60" s="38"/>
      <c r="G60" s="38"/>
      <c r="H60" s="38"/>
      <c r="I60" s="38"/>
      <c r="J60" s="38"/>
      <c r="K60" s="38"/>
    </row>
    <row r="61">
      <c r="B61" s="37"/>
      <c r="C61" s="37"/>
      <c r="D61" s="37"/>
      <c r="E61" s="38"/>
      <c r="F61" s="38"/>
      <c r="G61" s="38"/>
      <c r="H61" s="38"/>
      <c r="I61" s="38"/>
      <c r="J61" s="38"/>
      <c r="K61" s="38"/>
    </row>
    <row r="62">
      <c r="A62" s="27"/>
      <c r="B62" s="37"/>
      <c r="C62" s="37"/>
      <c r="D62" s="37"/>
      <c r="E62" s="38"/>
      <c r="F62" s="38"/>
      <c r="G62" s="38"/>
      <c r="H62" s="38"/>
      <c r="I62" s="38"/>
      <c r="J62" s="38"/>
      <c r="K62" s="38"/>
    </row>
    <row r="63">
      <c r="A63" s="27"/>
      <c r="B63" s="37"/>
      <c r="C63" s="37"/>
      <c r="D63" s="37"/>
      <c r="E63" s="38"/>
      <c r="F63" s="38"/>
      <c r="G63" s="38"/>
      <c r="H63" s="38"/>
      <c r="I63" s="38"/>
      <c r="J63" s="38"/>
      <c r="K63" s="38"/>
    </row>
    <row r="64">
      <c r="A64" s="27"/>
      <c r="B64" s="37"/>
      <c r="C64" s="37"/>
      <c r="D64" s="37"/>
      <c r="E64" s="38"/>
      <c r="F64" s="38"/>
      <c r="G64" s="38"/>
      <c r="H64" s="38"/>
      <c r="I64" s="38"/>
      <c r="J64" s="38"/>
      <c r="K64" s="38"/>
    </row>
    <row r="65">
      <c r="B65" s="37"/>
      <c r="C65" s="37"/>
      <c r="D65" s="37"/>
      <c r="E65" s="38"/>
      <c r="F65" s="38"/>
      <c r="G65" s="38"/>
      <c r="H65" s="38"/>
      <c r="I65" s="38"/>
      <c r="J65" s="38"/>
      <c r="K65" s="38"/>
    </row>
    <row r="66">
      <c r="A66" s="27"/>
      <c r="B66" s="37"/>
      <c r="C66" s="37"/>
      <c r="D66" s="37"/>
      <c r="E66" s="38"/>
      <c r="F66" s="38"/>
      <c r="G66" s="38"/>
      <c r="H66" s="38"/>
      <c r="I66" s="38"/>
      <c r="J66" s="38"/>
      <c r="K66" s="38"/>
    </row>
    <row r="67">
      <c r="A67" s="27"/>
      <c r="B67" s="37"/>
      <c r="C67" s="37"/>
      <c r="D67" s="37"/>
      <c r="E67" s="38"/>
      <c r="F67" s="38"/>
      <c r="G67" s="38"/>
      <c r="H67" s="38"/>
      <c r="I67" s="38"/>
      <c r="J67" s="38"/>
      <c r="K67" s="38"/>
    </row>
    <row r="68">
      <c r="A68" s="27"/>
      <c r="B68" s="37"/>
      <c r="C68" s="37"/>
      <c r="D68" s="37"/>
      <c r="E68" s="38"/>
      <c r="F68" s="38"/>
      <c r="G68" s="38"/>
      <c r="H68" s="38"/>
      <c r="I68" s="38"/>
      <c r="J68" s="38"/>
      <c r="K68" s="38"/>
    </row>
    <row r="69">
      <c r="B69" s="37"/>
      <c r="C69" s="37"/>
      <c r="D69" s="37"/>
      <c r="E69" s="38"/>
      <c r="F69" s="38"/>
      <c r="G69" s="38"/>
      <c r="H69" s="38"/>
      <c r="I69" s="38"/>
      <c r="J69" s="38"/>
      <c r="K69" s="38"/>
    </row>
    <row r="70">
      <c r="A70" s="27"/>
      <c r="B70" s="37"/>
      <c r="C70" s="37"/>
      <c r="D70" s="37"/>
      <c r="E70" s="38"/>
      <c r="F70" s="38"/>
      <c r="G70" s="38"/>
      <c r="H70" s="38"/>
      <c r="I70" s="38"/>
      <c r="J70" s="38"/>
      <c r="K70" s="38"/>
    </row>
    <row r="71">
      <c r="A71" s="27"/>
      <c r="B71" s="37"/>
      <c r="C71" s="37"/>
      <c r="D71" s="37"/>
      <c r="E71" s="38"/>
      <c r="F71" s="38"/>
      <c r="G71" s="38"/>
      <c r="H71" s="38"/>
      <c r="I71" s="38"/>
      <c r="J71" s="38"/>
      <c r="K71" s="38"/>
    </row>
    <row r="72">
      <c r="A72" s="27"/>
      <c r="B72" s="37"/>
      <c r="C72" s="37"/>
      <c r="D72" s="37"/>
      <c r="E72" s="38"/>
      <c r="F72" s="38"/>
      <c r="G72" s="38"/>
      <c r="H72" s="38"/>
      <c r="I72" s="38"/>
      <c r="J72" s="38"/>
      <c r="K72" s="38"/>
    </row>
    <row r="73">
      <c r="A73" s="27"/>
      <c r="B73" s="37"/>
      <c r="C73" s="37"/>
      <c r="D73" s="37"/>
      <c r="E73" s="38"/>
      <c r="F73" s="38"/>
      <c r="G73" s="38"/>
      <c r="H73" s="38"/>
      <c r="I73" s="38"/>
      <c r="J73" s="38"/>
      <c r="K73" s="38"/>
    </row>
    <row r="74">
      <c r="B74" s="37"/>
      <c r="C74" s="37"/>
      <c r="D74" s="37"/>
      <c r="E74" s="38"/>
      <c r="F74" s="38"/>
      <c r="G74" s="38"/>
      <c r="H74" s="38"/>
      <c r="I74" s="38"/>
      <c r="J74" s="38"/>
      <c r="K74" s="38"/>
    </row>
    <row r="75">
      <c r="A75" s="27"/>
      <c r="B75" s="37"/>
      <c r="C75" s="37"/>
      <c r="D75" s="37"/>
      <c r="E75" s="38"/>
      <c r="F75" s="38"/>
      <c r="G75" s="38"/>
      <c r="H75" s="38"/>
      <c r="I75" s="38"/>
      <c r="J75" s="38"/>
      <c r="K75" s="38"/>
    </row>
    <row r="76">
      <c r="A76" s="27"/>
      <c r="B76" s="37"/>
      <c r="C76" s="37"/>
      <c r="D76" s="37"/>
      <c r="E76" s="38"/>
      <c r="F76" s="38"/>
      <c r="G76" s="38"/>
      <c r="H76" s="38"/>
      <c r="I76" s="38"/>
      <c r="J76" s="38"/>
      <c r="K76" s="38"/>
    </row>
    <row r="77">
      <c r="A77" s="27"/>
      <c r="B77" s="37"/>
      <c r="C77" s="37"/>
      <c r="D77" s="37"/>
      <c r="E77" s="38"/>
      <c r="F77" s="38"/>
      <c r="G77" s="38"/>
      <c r="H77" s="38"/>
      <c r="I77" s="38"/>
      <c r="J77" s="38"/>
      <c r="K77" s="38"/>
    </row>
    <row r="78">
      <c r="B78" s="37"/>
      <c r="C78" s="37"/>
      <c r="D78" s="37"/>
      <c r="E78" s="38"/>
      <c r="F78" s="38"/>
      <c r="G78" s="38"/>
      <c r="H78" s="38"/>
      <c r="I78" s="38"/>
      <c r="J78" s="38"/>
      <c r="K78" s="38"/>
    </row>
    <row r="79">
      <c r="A79" s="27"/>
      <c r="B79" s="37"/>
      <c r="C79" s="37"/>
      <c r="D79" s="37"/>
      <c r="E79" s="38"/>
      <c r="F79" s="38"/>
      <c r="G79" s="38"/>
      <c r="H79" s="38"/>
      <c r="I79" s="38"/>
      <c r="J79" s="38"/>
      <c r="K79" s="38"/>
    </row>
    <row r="80">
      <c r="B80" s="37"/>
      <c r="C80" s="37"/>
      <c r="D80" s="37"/>
      <c r="E80" s="38"/>
      <c r="F80" s="38"/>
      <c r="G80" s="38"/>
      <c r="H80" s="38"/>
      <c r="I80" s="38"/>
      <c r="J80" s="38"/>
      <c r="K80" s="38"/>
    </row>
    <row r="81">
      <c r="B81" s="37"/>
      <c r="C81" s="37"/>
      <c r="D81" s="37"/>
      <c r="E81" s="38"/>
      <c r="F81" s="38"/>
      <c r="G81" s="38"/>
      <c r="H81" s="38"/>
      <c r="I81" s="38"/>
      <c r="J81" s="38"/>
      <c r="K81" s="38"/>
    </row>
    <row r="82">
      <c r="B82" s="37"/>
      <c r="C82" s="37"/>
      <c r="D82" s="37"/>
      <c r="E82" s="38"/>
      <c r="F82" s="38"/>
      <c r="G82" s="38"/>
      <c r="H82" s="38"/>
      <c r="I82" s="38"/>
      <c r="J82" s="38"/>
      <c r="K82" s="38"/>
    </row>
    <row r="83">
      <c r="B83" s="37"/>
      <c r="C83" s="37"/>
      <c r="D83" s="37"/>
      <c r="E83" s="38"/>
      <c r="F83" s="38"/>
      <c r="G83" s="38"/>
      <c r="H83" s="38"/>
      <c r="I83" s="38"/>
      <c r="J83" s="38"/>
      <c r="K83" s="38"/>
    </row>
    <row r="84">
      <c r="B84" s="37"/>
      <c r="C84" s="37"/>
      <c r="D84" s="37"/>
      <c r="E84" s="38"/>
      <c r="F84" s="38"/>
      <c r="G84" s="38"/>
      <c r="H84" s="38"/>
      <c r="I84" s="38"/>
      <c r="J84" s="38"/>
      <c r="K84" s="38"/>
    </row>
    <row r="85">
      <c r="B85" s="37"/>
      <c r="C85" s="37"/>
      <c r="D85" s="37"/>
      <c r="E85" s="38"/>
      <c r="F85" s="38"/>
      <c r="G85" s="38"/>
      <c r="H85" s="38"/>
      <c r="I85" s="38"/>
      <c r="J85" s="38"/>
      <c r="K85" s="38"/>
    </row>
    <row r="86">
      <c r="B86" s="37"/>
      <c r="C86" s="37"/>
      <c r="D86" s="37"/>
      <c r="E86" s="38"/>
      <c r="F86" s="38"/>
      <c r="G86" s="38"/>
      <c r="H86" s="38"/>
      <c r="I86" s="38"/>
      <c r="J86" s="38"/>
      <c r="K86" s="38"/>
    </row>
    <row r="87">
      <c r="B87" s="37"/>
      <c r="C87" s="37"/>
      <c r="D87" s="37"/>
      <c r="E87" s="38"/>
      <c r="F87" s="38"/>
      <c r="G87" s="38"/>
      <c r="H87" s="38"/>
      <c r="I87" s="38"/>
      <c r="J87" s="38"/>
      <c r="K87" s="38"/>
    </row>
    <row r="88">
      <c r="B88" s="37"/>
      <c r="C88" s="37"/>
      <c r="D88" s="37"/>
      <c r="E88" s="38"/>
      <c r="F88" s="38"/>
      <c r="G88" s="38"/>
      <c r="H88" s="38"/>
      <c r="I88" s="38"/>
      <c r="J88" s="38"/>
      <c r="K88" s="38"/>
    </row>
    <row r="89">
      <c r="B89" s="37"/>
      <c r="C89" s="37"/>
      <c r="D89" s="37"/>
      <c r="E89" s="38"/>
      <c r="F89" s="38"/>
      <c r="G89" s="38"/>
      <c r="H89" s="38"/>
      <c r="I89" s="38"/>
      <c r="J89" s="38"/>
      <c r="K89" s="38"/>
    </row>
    <row r="90">
      <c r="B90" s="37"/>
      <c r="C90" s="37"/>
      <c r="D90" s="37"/>
      <c r="E90" s="38"/>
      <c r="F90" s="38"/>
      <c r="G90" s="38"/>
      <c r="H90" s="38"/>
      <c r="I90" s="38"/>
      <c r="J90" s="38"/>
      <c r="K90" s="38"/>
    </row>
    <row r="91">
      <c r="B91" s="37"/>
      <c r="C91" s="37"/>
      <c r="D91" s="37"/>
      <c r="E91" s="38"/>
      <c r="F91" s="38"/>
      <c r="G91" s="38"/>
      <c r="H91" s="38"/>
      <c r="I91" s="38"/>
      <c r="J91" s="38"/>
      <c r="K91" s="38"/>
    </row>
    <row r="92">
      <c r="B92" s="37"/>
      <c r="C92" s="37"/>
      <c r="D92" s="37"/>
      <c r="E92" s="38"/>
      <c r="F92" s="38"/>
      <c r="G92" s="38"/>
      <c r="H92" s="38"/>
      <c r="I92" s="38"/>
      <c r="J92" s="38"/>
      <c r="K92" s="38"/>
    </row>
    <row r="93">
      <c r="B93" s="37"/>
      <c r="C93" s="37"/>
      <c r="D93" s="37"/>
      <c r="E93" s="38"/>
      <c r="F93" s="38"/>
      <c r="G93" s="38"/>
      <c r="H93" s="38"/>
      <c r="I93" s="38"/>
      <c r="J93" s="38"/>
      <c r="K93" s="38"/>
    </row>
    <row r="94">
      <c r="B94" s="37"/>
      <c r="C94" s="37"/>
      <c r="D94" s="37"/>
      <c r="E94" s="38"/>
      <c r="F94" s="38"/>
      <c r="G94" s="38"/>
      <c r="H94" s="38"/>
      <c r="I94" s="38"/>
      <c r="J94" s="38"/>
      <c r="K94" s="38"/>
    </row>
    <row r="95">
      <c r="B95" s="37"/>
      <c r="C95" s="37"/>
      <c r="D95" s="37"/>
      <c r="E95" s="38"/>
      <c r="F95" s="38"/>
      <c r="G95" s="38"/>
      <c r="H95" s="38"/>
      <c r="I95" s="38"/>
      <c r="J95" s="38"/>
      <c r="K95" s="38"/>
    </row>
    <row r="96">
      <c r="B96" s="37"/>
      <c r="C96" s="37"/>
      <c r="D96" s="37"/>
      <c r="E96" s="38"/>
      <c r="F96" s="38"/>
      <c r="G96" s="38"/>
      <c r="H96" s="38"/>
      <c r="I96" s="38"/>
      <c r="J96" s="38"/>
      <c r="K96" s="38"/>
    </row>
    <row r="97">
      <c r="B97" s="37"/>
      <c r="C97" s="37"/>
      <c r="D97" s="37"/>
      <c r="E97" s="38"/>
      <c r="F97" s="38"/>
      <c r="G97" s="38"/>
      <c r="H97" s="38"/>
      <c r="I97" s="38"/>
      <c r="J97" s="38"/>
      <c r="K97" s="38"/>
    </row>
    <row r="98">
      <c r="B98" s="37"/>
      <c r="C98" s="37"/>
      <c r="D98" s="37"/>
      <c r="E98" s="38"/>
      <c r="F98" s="38"/>
      <c r="G98" s="38"/>
      <c r="H98" s="38"/>
      <c r="I98" s="38"/>
      <c r="J98" s="38"/>
      <c r="K98" s="38"/>
    </row>
    <row r="99">
      <c r="B99" s="37"/>
      <c r="C99" s="37"/>
      <c r="D99" s="37"/>
      <c r="E99" s="38"/>
      <c r="F99" s="38"/>
      <c r="G99" s="38"/>
      <c r="H99" s="38"/>
      <c r="I99" s="38"/>
      <c r="J99" s="38"/>
      <c r="K99" s="38"/>
    </row>
    <row r="100">
      <c r="B100" s="37"/>
      <c r="C100" s="37"/>
      <c r="D100" s="37"/>
      <c r="E100" s="38"/>
      <c r="F100" s="38"/>
      <c r="G100" s="38"/>
      <c r="H100" s="38"/>
      <c r="I100" s="38"/>
      <c r="J100" s="38"/>
      <c r="K100" s="38"/>
    </row>
    <row r="101">
      <c r="B101" s="37"/>
      <c r="C101" s="37"/>
      <c r="D101" s="37"/>
      <c r="E101" s="38"/>
      <c r="F101" s="38"/>
      <c r="G101" s="38"/>
      <c r="H101" s="38"/>
      <c r="I101" s="38"/>
      <c r="J101" s="38"/>
      <c r="K101" s="38"/>
    </row>
    <row r="102">
      <c r="B102" s="37"/>
      <c r="C102" s="37"/>
      <c r="D102" s="37"/>
      <c r="E102" s="38"/>
      <c r="F102" s="38"/>
      <c r="G102" s="38"/>
      <c r="H102" s="38"/>
      <c r="I102" s="38"/>
      <c r="J102" s="38"/>
      <c r="K102" s="38"/>
    </row>
    <row r="103">
      <c r="B103" s="37"/>
      <c r="C103" s="37"/>
      <c r="D103" s="37"/>
      <c r="E103" s="38"/>
      <c r="F103" s="38"/>
      <c r="G103" s="38"/>
      <c r="H103" s="38"/>
      <c r="I103" s="38"/>
      <c r="J103" s="38"/>
      <c r="K103" s="38"/>
    </row>
    <row r="104">
      <c r="B104" s="37"/>
      <c r="C104" s="37"/>
      <c r="D104" s="37"/>
      <c r="E104" s="38"/>
      <c r="F104" s="38"/>
      <c r="G104" s="38"/>
      <c r="H104" s="38"/>
      <c r="I104" s="38"/>
      <c r="J104" s="38"/>
      <c r="K104" s="38"/>
    </row>
    <row r="105">
      <c r="B105" s="37"/>
      <c r="C105" s="37"/>
      <c r="D105" s="37"/>
      <c r="E105" s="38"/>
      <c r="F105" s="38"/>
      <c r="G105" s="38"/>
      <c r="H105" s="38"/>
      <c r="I105" s="38"/>
      <c r="J105" s="38"/>
      <c r="K105" s="38"/>
    </row>
    <row r="106">
      <c r="B106" s="37"/>
      <c r="C106" s="37"/>
      <c r="D106" s="37"/>
      <c r="E106" s="38"/>
      <c r="F106" s="38"/>
      <c r="G106" s="38"/>
      <c r="H106" s="38"/>
      <c r="I106" s="38"/>
      <c r="J106" s="38"/>
      <c r="K106" s="38"/>
    </row>
    <row r="107">
      <c r="B107" s="37"/>
      <c r="C107" s="37"/>
      <c r="D107" s="37"/>
      <c r="E107" s="38"/>
      <c r="F107" s="38"/>
      <c r="G107" s="38"/>
      <c r="H107" s="38"/>
      <c r="I107" s="38"/>
      <c r="J107" s="38"/>
      <c r="K107" s="38"/>
    </row>
    <row r="108">
      <c r="B108" s="37"/>
      <c r="C108" s="37"/>
      <c r="D108" s="37"/>
      <c r="E108" s="38"/>
      <c r="F108" s="38"/>
      <c r="G108" s="38"/>
      <c r="H108" s="38"/>
      <c r="I108" s="38"/>
      <c r="J108" s="38"/>
      <c r="K108" s="38"/>
    </row>
    <row r="109">
      <c r="B109" s="37"/>
      <c r="C109" s="37"/>
      <c r="D109" s="37"/>
      <c r="E109" s="38"/>
      <c r="F109" s="38"/>
      <c r="G109" s="38"/>
      <c r="H109" s="38"/>
      <c r="I109" s="38"/>
      <c r="J109" s="38"/>
      <c r="K109" s="38"/>
    </row>
    <row r="110">
      <c r="B110" s="37"/>
      <c r="C110" s="37"/>
      <c r="D110" s="37"/>
      <c r="E110" s="38"/>
      <c r="F110" s="38"/>
      <c r="G110" s="38"/>
      <c r="H110" s="38"/>
      <c r="I110" s="38"/>
      <c r="J110" s="38"/>
      <c r="K110" s="38"/>
    </row>
    <row r="111">
      <c r="B111" s="37"/>
      <c r="C111" s="37"/>
      <c r="D111" s="37"/>
      <c r="E111" s="38"/>
      <c r="F111" s="38"/>
      <c r="G111" s="38"/>
      <c r="H111" s="38"/>
      <c r="I111" s="38"/>
      <c r="J111" s="38"/>
      <c r="K111" s="38"/>
    </row>
    <row r="112">
      <c r="B112" s="37"/>
      <c r="C112" s="37"/>
      <c r="D112" s="37"/>
      <c r="E112" s="38"/>
      <c r="F112" s="38"/>
      <c r="G112" s="38"/>
      <c r="H112" s="38"/>
      <c r="I112" s="38"/>
      <c r="J112" s="38"/>
      <c r="K112" s="38"/>
    </row>
    <row r="113">
      <c r="B113" s="37"/>
      <c r="C113" s="37"/>
      <c r="D113" s="37"/>
      <c r="E113" s="38"/>
      <c r="F113" s="38"/>
      <c r="G113" s="38"/>
      <c r="H113" s="38"/>
      <c r="I113" s="38"/>
      <c r="J113" s="38"/>
      <c r="K113" s="38"/>
    </row>
    <row r="114">
      <c r="B114" s="37"/>
      <c r="C114" s="37"/>
      <c r="D114" s="37"/>
      <c r="E114" s="38"/>
      <c r="F114" s="38"/>
      <c r="G114" s="38"/>
      <c r="H114" s="38"/>
      <c r="I114" s="38"/>
      <c r="J114" s="38"/>
      <c r="K114" s="38"/>
    </row>
    <row r="115">
      <c r="B115" s="37"/>
      <c r="C115" s="37"/>
      <c r="D115" s="37"/>
      <c r="E115" s="38"/>
      <c r="F115" s="38"/>
      <c r="G115" s="38"/>
      <c r="H115" s="38"/>
      <c r="I115" s="38"/>
      <c r="J115" s="38"/>
      <c r="K115" s="38"/>
    </row>
    <row r="116">
      <c r="B116" s="37"/>
      <c r="C116" s="37"/>
      <c r="D116" s="37"/>
      <c r="E116" s="38"/>
      <c r="F116" s="38"/>
      <c r="G116" s="38"/>
      <c r="H116" s="38"/>
      <c r="I116" s="38"/>
      <c r="J116" s="38"/>
      <c r="K116" s="38"/>
    </row>
    <row r="117">
      <c r="B117" s="37"/>
      <c r="C117" s="37"/>
      <c r="D117" s="37"/>
      <c r="E117" s="38"/>
      <c r="F117" s="38"/>
      <c r="G117" s="38"/>
      <c r="H117" s="38"/>
      <c r="I117" s="38"/>
      <c r="J117" s="38"/>
      <c r="K117" s="38"/>
    </row>
    <row r="118">
      <c r="B118" s="37"/>
      <c r="C118" s="37"/>
      <c r="D118" s="37"/>
      <c r="E118" s="38"/>
      <c r="F118" s="38"/>
      <c r="G118" s="38"/>
      <c r="H118" s="38"/>
      <c r="I118" s="38"/>
      <c r="J118" s="38"/>
      <c r="K118" s="38"/>
    </row>
    <row r="119">
      <c r="B119" s="37"/>
      <c r="C119" s="37"/>
      <c r="D119" s="37"/>
      <c r="E119" s="38"/>
      <c r="F119" s="38"/>
      <c r="G119" s="38"/>
      <c r="H119" s="38"/>
      <c r="I119" s="38"/>
      <c r="J119" s="38"/>
      <c r="K119" s="38"/>
    </row>
    <row r="120">
      <c r="B120" s="37"/>
      <c r="C120" s="37"/>
      <c r="D120" s="37"/>
      <c r="E120" s="38"/>
      <c r="F120" s="38"/>
      <c r="G120" s="38"/>
      <c r="H120" s="38"/>
      <c r="I120" s="38"/>
      <c r="J120" s="38"/>
      <c r="K120" s="38"/>
    </row>
    <row r="121">
      <c r="B121" s="37"/>
      <c r="C121" s="37"/>
      <c r="D121" s="37"/>
      <c r="E121" s="38"/>
      <c r="F121" s="38"/>
      <c r="G121" s="38"/>
      <c r="H121" s="38"/>
      <c r="I121" s="38"/>
      <c r="J121" s="38"/>
      <c r="K121" s="38"/>
    </row>
    <row r="122">
      <c r="B122" s="37"/>
      <c r="C122" s="37"/>
      <c r="D122" s="37"/>
      <c r="E122" s="38"/>
      <c r="F122" s="38"/>
      <c r="G122" s="38"/>
      <c r="H122" s="38"/>
      <c r="I122" s="38"/>
      <c r="J122" s="38"/>
      <c r="K122" s="38"/>
    </row>
    <row r="123">
      <c r="B123" s="37"/>
      <c r="C123" s="37"/>
      <c r="D123" s="37"/>
      <c r="E123" s="38"/>
      <c r="F123" s="38"/>
      <c r="G123" s="38"/>
      <c r="H123" s="38"/>
      <c r="I123" s="38"/>
      <c r="J123" s="38"/>
      <c r="K123" s="38"/>
    </row>
    <row r="124">
      <c r="B124" s="37"/>
      <c r="C124" s="37"/>
      <c r="D124" s="37"/>
      <c r="E124" s="38"/>
      <c r="F124" s="38"/>
      <c r="G124" s="38"/>
      <c r="H124" s="38"/>
      <c r="I124" s="38"/>
      <c r="J124" s="38"/>
      <c r="K124" s="38"/>
    </row>
    <row r="125">
      <c r="B125" s="37"/>
      <c r="C125" s="37"/>
      <c r="D125" s="37"/>
      <c r="E125" s="38"/>
      <c r="F125" s="38"/>
      <c r="G125" s="38"/>
      <c r="H125" s="38"/>
      <c r="I125" s="38"/>
      <c r="J125" s="38"/>
      <c r="K125" s="38"/>
    </row>
    <row r="126">
      <c r="B126" s="37"/>
      <c r="C126" s="37"/>
      <c r="D126" s="37"/>
      <c r="E126" s="38"/>
      <c r="F126" s="38"/>
      <c r="G126" s="38"/>
      <c r="H126" s="38"/>
      <c r="I126" s="38"/>
      <c r="J126" s="38"/>
      <c r="K126" s="38"/>
    </row>
    <row r="127">
      <c r="B127" s="37"/>
      <c r="C127" s="37"/>
      <c r="D127" s="37"/>
      <c r="E127" s="38"/>
      <c r="F127" s="38"/>
      <c r="G127" s="38"/>
      <c r="H127" s="38"/>
      <c r="I127" s="38"/>
      <c r="J127" s="38"/>
      <c r="K127" s="38"/>
    </row>
    <row r="128">
      <c r="B128" s="37"/>
      <c r="C128" s="37"/>
      <c r="D128" s="37"/>
      <c r="E128" s="38"/>
      <c r="F128" s="38"/>
      <c r="G128" s="38"/>
      <c r="H128" s="38"/>
      <c r="I128" s="38"/>
      <c r="J128" s="38"/>
      <c r="K128" s="38"/>
    </row>
    <row r="129">
      <c r="B129" s="37"/>
      <c r="C129" s="37"/>
      <c r="D129" s="37"/>
      <c r="E129" s="38"/>
      <c r="F129" s="38"/>
      <c r="G129" s="38"/>
      <c r="H129" s="38"/>
      <c r="I129" s="38"/>
      <c r="J129" s="38"/>
      <c r="K129" s="38"/>
    </row>
    <row r="130">
      <c r="B130" s="37"/>
      <c r="C130" s="37"/>
      <c r="D130" s="37"/>
      <c r="E130" s="38"/>
      <c r="F130" s="38"/>
      <c r="G130" s="38"/>
      <c r="H130" s="38"/>
      <c r="I130" s="38"/>
      <c r="J130" s="38"/>
      <c r="K130" s="38"/>
    </row>
    <row r="131">
      <c r="B131" s="37"/>
      <c r="C131" s="37"/>
      <c r="D131" s="37"/>
      <c r="E131" s="38"/>
      <c r="F131" s="38"/>
      <c r="G131" s="38"/>
      <c r="H131" s="38"/>
      <c r="I131" s="38"/>
      <c r="J131" s="38"/>
      <c r="K131" s="38"/>
    </row>
    <row r="132">
      <c r="B132" s="37"/>
      <c r="C132" s="37"/>
      <c r="D132" s="37"/>
      <c r="E132" s="38"/>
      <c r="F132" s="38"/>
      <c r="G132" s="38"/>
      <c r="H132" s="38"/>
      <c r="I132" s="38"/>
      <c r="J132" s="38"/>
      <c r="K132" s="38"/>
    </row>
    <row r="133">
      <c r="B133" s="37"/>
      <c r="C133" s="37"/>
      <c r="D133" s="37"/>
      <c r="E133" s="38"/>
      <c r="F133" s="38"/>
      <c r="G133" s="38"/>
      <c r="H133" s="38"/>
      <c r="I133" s="38"/>
      <c r="J133" s="38"/>
      <c r="K133" s="38"/>
    </row>
    <row r="134">
      <c r="B134" s="37"/>
      <c r="C134" s="37"/>
      <c r="D134" s="37"/>
      <c r="E134" s="38"/>
      <c r="F134" s="38"/>
      <c r="G134" s="38"/>
      <c r="H134" s="38"/>
      <c r="I134" s="38"/>
      <c r="J134" s="38"/>
      <c r="K134" s="38"/>
    </row>
    <row r="135">
      <c r="B135" s="37"/>
      <c r="C135" s="37"/>
      <c r="D135" s="37"/>
      <c r="E135" s="38"/>
      <c r="F135" s="38"/>
      <c r="G135" s="38"/>
      <c r="H135" s="38"/>
      <c r="I135" s="38"/>
      <c r="J135" s="38"/>
      <c r="K135" s="38"/>
    </row>
    <row r="136">
      <c r="B136" s="37"/>
      <c r="C136" s="37"/>
      <c r="D136" s="37"/>
      <c r="E136" s="38"/>
      <c r="F136" s="38"/>
      <c r="G136" s="38"/>
      <c r="H136" s="38"/>
      <c r="I136" s="38"/>
      <c r="J136" s="38"/>
      <c r="K136" s="38"/>
    </row>
    <row r="137">
      <c r="B137" s="37"/>
      <c r="C137" s="37"/>
      <c r="D137" s="37"/>
      <c r="E137" s="38"/>
      <c r="F137" s="38"/>
      <c r="G137" s="38"/>
      <c r="H137" s="38"/>
      <c r="I137" s="38"/>
      <c r="J137" s="38"/>
      <c r="K137" s="38"/>
    </row>
    <row r="138">
      <c r="B138" s="37"/>
      <c r="C138" s="37"/>
      <c r="D138" s="37"/>
      <c r="E138" s="38"/>
      <c r="F138" s="38"/>
      <c r="G138" s="38"/>
      <c r="H138" s="38"/>
      <c r="I138" s="38"/>
      <c r="J138" s="38"/>
      <c r="K138" s="38"/>
    </row>
    <row r="139">
      <c r="B139" s="37"/>
      <c r="C139" s="37"/>
      <c r="D139" s="37"/>
      <c r="E139" s="38"/>
      <c r="F139" s="38"/>
      <c r="G139" s="38"/>
      <c r="H139" s="38"/>
      <c r="I139" s="38"/>
      <c r="J139" s="38"/>
      <c r="K139" s="38"/>
    </row>
    <row r="140">
      <c r="B140" s="37"/>
      <c r="C140" s="37"/>
      <c r="D140" s="37"/>
      <c r="E140" s="38"/>
      <c r="F140" s="38"/>
      <c r="G140" s="38"/>
      <c r="H140" s="38"/>
      <c r="I140" s="38"/>
      <c r="J140" s="38"/>
      <c r="K140" s="38"/>
    </row>
    <row r="141">
      <c r="B141" s="37"/>
      <c r="C141" s="37"/>
      <c r="D141" s="37"/>
      <c r="E141" s="38"/>
      <c r="F141" s="38"/>
      <c r="G141" s="38"/>
      <c r="H141" s="38"/>
      <c r="I141" s="38"/>
      <c r="J141" s="38"/>
      <c r="K141" s="38"/>
    </row>
    <row r="142">
      <c r="B142" s="37"/>
      <c r="C142" s="37"/>
      <c r="D142" s="37"/>
      <c r="E142" s="38"/>
      <c r="F142" s="38"/>
      <c r="G142" s="38"/>
      <c r="H142" s="38"/>
      <c r="I142" s="38"/>
      <c r="J142" s="38"/>
      <c r="K142" s="38"/>
    </row>
    <row r="143">
      <c r="B143" s="37"/>
      <c r="C143" s="37"/>
      <c r="D143" s="37"/>
      <c r="E143" s="38"/>
      <c r="F143" s="38"/>
      <c r="G143" s="38"/>
      <c r="H143" s="38"/>
      <c r="I143" s="38"/>
      <c r="J143" s="38"/>
      <c r="K143" s="38"/>
    </row>
    <row r="144">
      <c r="B144" s="37"/>
      <c r="C144" s="37"/>
      <c r="D144" s="37"/>
      <c r="E144" s="38"/>
      <c r="F144" s="38"/>
      <c r="G144" s="38"/>
      <c r="H144" s="38"/>
      <c r="I144" s="38"/>
      <c r="J144" s="38"/>
      <c r="K144" s="38"/>
    </row>
    <row r="145">
      <c r="B145" s="37"/>
      <c r="C145" s="37"/>
      <c r="D145" s="37"/>
      <c r="E145" s="38"/>
      <c r="F145" s="38"/>
      <c r="G145" s="38"/>
      <c r="H145" s="38"/>
      <c r="I145" s="38"/>
      <c r="J145" s="38"/>
      <c r="K145" s="38"/>
    </row>
    <row r="146">
      <c r="B146" s="37"/>
      <c r="C146" s="37"/>
      <c r="D146" s="37"/>
      <c r="E146" s="38"/>
      <c r="F146" s="38"/>
      <c r="G146" s="38"/>
      <c r="H146" s="38"/>
      <c r="I146" s="38"/>
      <c r="J146" s="38"/>
      <c r="K146" s="38"/>
    </row>
    <row r="147">
      <c r="B147" s="37"/>
      <c r="C147" s="37"/>
      <c r="D147" s="37"/>
      <c r="E147" s="38"/>
      <c r="F147" s="38"/>
      <c r="G147" s="38"/>
      <c r="H147" s="38"/>
      <c r="I147" s="38"/>
      <c r="J147" s="38"/>
      <c r="K147" s="38"/>
    </row>
    <row r="148">
      <c r="B148" s="37"/>
      <c r="C148" s="37"/>
      <c r="D148" s="37"/>
      <c r="E148" s="38"/>
      <c r="F148" s="38"/>
      <c r="G148" s="38"/>
      <c r="H148" s="38"/>
      <c r="I148" s="38"/>
      <c r="J148" s="38"/>
      <c r="K148" s="38"/>
    </row>
    <row r="149">
      <c r="B149" s="37"/>
      <c r="C149" s="37"/>
      <c r="D149" s="37"/>
      <c r="E149" s="38"/>
      <c r="F149" s="38"/>
      <c r="G149" s="38"/>
      <c r="H149" s="38"/>
      <c r="I149" s="38"/>
      <c r="J149" s="38"/>
      <c r="K149" s="38"/>
    </row>
    <row r="150">
      <c r="B150" s="37"/>
      <c r="C150" s="37"/>
      <c r="D150" s="37"/>
      <c r="E150" s="38"/>
      <c r="F150" s="38"/>
      <c r="G150" s="38"/>
      <c r="H150" s="38"/>
      <c r="I150" s="38"/>
      <c r="J150" s="38"/>
      <c r="K150" s="38"/>
    </row>
    <row r="151">
      <c r="B151" s="37"/>
      <c r="C151" s="37"/>
      <c r="D151" s="37"/>
      <c r="E151" s="38"/>
      <c r="F151" s="38"/>
      <c r="G151" s="38"/>
      <c r="H151" s="38"/>
      <c r="I151" s="38"/>
      <c r="J151" s="38"/>
      <c r="K151" s="38"/>
    </row>
    <row r="152">
      <c r="B152" s="37"/>
      <c r="C152" s="37"/>
      <c r="D152" s="37"/>
      <c r="E152" s="38"/>
      <c r="F152" s="38"/>
      <c r="G152" s="38"/>
      <c r="H152" s="38"/>
      <c r="I152" s="38"/>
      <c r="J152" s="38"/>
      <c r="K152" s="38"/>
    </row>
    <row r="153">
      <c r="B153" s="37"/>
      <c r="C153" s="37"/>
      <c r="D153" s="37"/>
      <c r="E153" s="38"/>
      <c r="F153" s="38"/>
      <c r="G153" s="38"/>
      <c r="H153" s="38"/>
      <c r="I153" s="38"/>
      <c r="J153" s="38"/>
      <c r="K153" s="38"/>
    </row>
    <row r="154">
      <c r="B154" s="37"/>
      <c r="C154" s="37"/>
      <c r="D154" s="37"/>
      <c r="E154" s="38"/>
      <c r="F154" s="38"/>
      <c r="G154" s="38"/>
      <c r="H154" s="38"/>
      <c r="I154" s="38"/>
      <c r="J154" s="38"/>
      <c r="K154" s="38"/>
    </row>
    <row r="155">
      <c r="B155" s="37"/>
      <c r="C155" s="37"/>
      <c r="D155" s="37"/>
      <c r="E155" s="38"/>
      <c r="F155" s="38"/>
      <c r="G155" s="38"/>
      <c r="H155" s="38"/>
      <c r="I155" s="38"/>
      <c r="J155" s="38"/>
      <c r="K155" s="38"/>
    </row>
    <row r="156">
      <c r="B156" s="37"/>
      <c r="C156" s="37"/>
      <c r="D156" s="37"/>
      <c r="E156" s="38"/>
      <c r="F156" s="38"/>
      <c r="G156" s="38"/>
      <c r="H156" s="38"/>
      <c r="I156" s="38"/>
      <c r="J156" s="38"/>
      <c r="K156" s="38"/>
    </row>
    <row r="157">
      <c r="B157" s="37"/>
      <c r="C157" s="37"/>
      <c r="D157" s="37"/>
      <c r="E157" s="38"/>
      <c r="F157" s="38"/>
      <c r="G157" s="38"/>
      <c r="H157" s="38"/>
      <c r="I157" s="38"/>
      <c r="J157" s="38"/>
      <c r="K157" s="38"/>
    </row>
    <row r="158">
      <c r="B158" s="37"/>
      <c r="C158" s="37"/>
      <c r="D158" s="37"/>
      <c r="E158" s="38"/>
      <c r="F158" s="38"/>
      <c r="G158" s="38"/>
      <c r="H158" s="38"/>
      <c r="I158" s="38"/>
      <c r="J158" s="38"/>
      <c r="K158" s="38"/>
    </row>
    <row r="159">
      <c r="B159" s="37"/>
      <c r="C159" s="37"/>
      <c r="D159" s="37"/>
      <c r="E159" s="38"/>
      <c r="F159" s="38"/>
      <c r="G159" s="38"/>
      <c r="H159" s="38"/>
      <c r="I159" s="38"/>
      <c r="J159" s="38"/>
      <c r="K159" s="38"/>
    </row>
    <row r="160">
      <c r="B160" s="37"/>
      <c r="C160" s="37"/>
      <c r="D160" s="37"/>
      <c r="E160" s="38"/>
      <c r="F160" s="38"/>
      <c r="G160" s="38"/>
      <c r="H160" s="38"/>
      <c r="I160" s="38"/>
      <c r="J160" s="38"/>
      <c r="K160" s="38"/>
    </row>
    <row r="161">
      <c r="B161" s="37"/>
      <c r="C161" s="37"/>
      <c r="D161" s="37"/>
      <c r="E161" s="38"/>
      <c r="F161" s="38"/>
      <c r="G161" s="38"/>
      <c r="H161" s="38"/>
      <c r="I161" s="38"/>
      <c r="J161" s="38"/>
      <c r="K161" s="38"/>
    </row>
    <row r="162">
      <c r="B162" s="37"/>
      <c r="C162" s="37"/>
      <c r="D162" s="37"/>
      <c r="E162" s="38"/>
      <c r="F162" s="38"/>
      <c r="G162" s="38"/>
      <c r="H162" s="38"/>
      <c r="I162" s="38"/>
      <c r="J162" s="38"/>
      <c r="K162" s="38"/>
    </row>
    <row r="163">
      <c r="B163" s="37"/>
      <c r="C163" s="37"/>
      <c r="D163" s="37"/>
      <c r="E163" s="38"/>
      <c r="F163" s="38"/>
      <c r="G163" s="38"/>
      <c r="H163" s="38"/>
      <c r="I163" s="38"/>
      <c r="J163" s="38"/>
      <c r="K163" s="38"/>
    </row>
    <row r="164">
      <c r="B164" s="37"/>
      <c r="C164" s="37"/>
      <c r="D164" s="37"/>
      <c r="E164" s="38"/>
      <c r="F164" s="38"/>
      <c r="G164" s="38"/>
      <c r="H164" s="38"/>
      <c r="I164" s="38"/>
      <c r="J164" s="38"/>
      <c r="K164" s="38"/>
    </row>
    <row r="165">
      <c r="B165" s="37"/>
      <c r="C165" s="37"/>
      <c r="D165" s="37"/>
      <c r="E165" s="38"/>
      <c r="F165" s="38"/>
      <c r="G165" s="38"/>
      <c r="H165" s="38"/>
      <c r="I165" s="38"/>
      <c r="J165" s="38"/>
      <c r="K165" s="38"/>
    </row>
    <row r="166">
      <c r="B166" s="37"/>
      <c r="C166" s="37"/>
      <c r="D166" s="37"/>
      <c r="E166" s="38"/>
      <c r="F166" s="38"/>
      <c r="G166" s="38"/>
      <c r="H166" s="38"/>
      <c r="I166" s="38"/>
      <c r="J166" s="38"/>
      <c r="K166" s="38"/>
    </row>
    <row r="167">
      <c r="B167" s="37"/>
      <c r="C167" s="37"/>
      <c r="D167" s="37"/>
      <c r="E167" s="38"/>
      <c r="F167" s="38"/>
      <c r="G167" s="38"/>
      <c r="H167" s="38"/>
      <c r="I167" s="38"/>
      <c r="J167" s="38"/>
      <c r="K167" s="38"/>
    </row>
    <row r="168">
      <c r="B168" s="37"/>
      <c r="C168" s="37"/>
      <c r="D168" s="37"/>
      <c r="E168" s="38"/>
      <c r="F168" s="38"/>
      <c r="G168" s="38"/>
      <c r="H168" s="38"/>
      <c r="I168" s="38"/>
      <c r="J168" s="38"/>
      <c r="K168" s="38"/>
    </row>
    <row r="169">
      <c r="B169" s="37"/>
      <c r="C169" s="37"/>
      <c r="D169" s="37"/>
      <c r="E169" s="38"/>
      <c r="F169" s="38"/>
      <c r="G169" s="38"/>
      <c r="H169" s="38"/>
      <c r="I169" s="38"/>
      <c r="J169" s="38"/>
      <c r="K169" s="38"/>
    </row>
    <row r="170">
      <c r="B170" s="37"/>
      <c r="C170" s="37"/>
      <c r="D170" s="37"/>
      <c r="E170" s="38"/>
      <c r="F170" s="38"/>
      <c r="G170" s="38"/>
      <c r="H170" s="38"/>
      <c r="I170" s="38"/>
      <c r="J170" s="38"/>
      <c r="K170" s="38"/>
    </row>
    <row r="171">
      <c r="B171" s="37"/>
      <c r="C171" s="37"/>
      <c r="D171" s="37"/>
      <c r="E171" s="38"/>
      <c r="F171" s="38"/>
      <c r="G171" s="38"/>
      <c r="H171" s="38"/>
      <c r="I171" s="38"/>
      <c r="J171" s="38"/>
      <c r="K171" s="38"/>
    </row>
    <row r="172">
      <c r="B172" s="37"/>
      <c r="C172" s="37"/>
      <c r="D172" s="37"/>
      <c r="E172" s="38"/>
      <c r="F172" s="38"/>
      <c r="G172" s="38"/>
      <c r="H172" s="38"/>
      <c r="I172" s="38"/>
      <c r="J172" s="38"/>
      <c r="K172" s="38"/>
    </row>
    <row r="173">
      <c r="B173" s="37"/>
      <c r="C173" s="37"/>
      <c r="D173" s="37"/>
      <c r="E173" s="38"/>
      <c r="F173" s="38"/>
      <c r="G173" s="38"/>
      <c r="H173" s="38"/>
      <c r="I173" s="38"/>
      <c r="J173" s="38"/>
      <c r="K173" s="38"/>
    </row>
    <row r="174">
      <c r="B174" s="37"/>
      <c r="C174" s="37"/>
      <c r="D174" s="37"/>
      <c r="E174" s="38"/>
      <c r="F174" s="38"/>
      <c r="G174" s="38"/>
      <c r="H174" s="38"/>
      <c r="I174" s="38"/>
      <c r="J174" s="38"/>
      <c r="K174" s="38"/>
    </row>
    <row r="175">
      <c r="B175" s="37"/>
      <c r="C175" s="37"/>
      <c r="D175" s="37"/>
      <c r="E175" s="38"/>
      <c r="F175" s="38"/>
      <c r="G175" s="38"/>
      <c r="H175" s="38"/>
      <c r="I175" s="38"/>
      <c r="J175" s="38"/>
      <c r="K175" s="38"/>
    </row>
    <row r="176">
      <c r="B176" s="37"/>
      <c r="C176" s="37"/>
      <c r="D176" s="37"/>
      <c r="E176" s="38"/>
      <c r="F176" s="38"/>
      <c r="G176" s="38"/>
      <c r="H176" s="38"/>
      <c r="I176" s="38"/>
      <c r="J176" s="38"/>
      <c r="K176" s="38"/>
    </row>
    <row r="177">
      <c r="B177" s="37"/>
      <c r="C177" s="37"/>
      <c r="D177" s="37"/>
      <c r="E177" s="38"/>
      <c r="F177" s="38"/>
      <c r="G177" s="38"/>
      <c r="H177" s="38"/>
      <c r="I177" s="38"/>
      <c r="J177" s="38"/>
      <c r="K177" s="38"/>
    </row>
    <row r="178">
      <c r="B178" s="37"/>
      <c r="C178" s="37"/>
      <c r="D178" s="37"/>
      <c r="E178" s="38"/>
      <c r="F178" s="38"/>
      <c r="G178" s="38"/>
      <c r="H178" s="38"/>
      <c r="I178" s="38"/>
      <c r="J178" s="38"/>
      <c r="K178" s="38"/>
    </row>
    <row r="179">
      <c r="B179" s="37"/>
      <c r="C179" s="37"/>
      <c r="D179" s="37"/>
      <c r="E179" s="38"/>
      <c r="F179" s="38"/>
      <c r="G179" s="38"/>
      <c r="H179" s="38"/>
      <c r="I179" s="38"/>
      <c r="J179" s="38"/>
      <c r="K179" s="38"/>
    </row>
    <row r="180">
      <c r="B180" s="37"/>
      <c r="C180" s="37"/>
      <c r="D180" s="37"/>
      <c r="E180" s="38"/>
      <c r="F180" s="38"/>
      <c r="G180" s="38"/>
      <c r="H180" s="38"/>
      <c r="I180" s="38"/>
      <c r="J180" s="38"/>
      <c r="K180" s="38"/>
    </row>
    <row r="181">
      <c r="B181" s="37"/>
      <c r="C181" s="37"/>
      <c r="D181" s="37"/>
      <c r="E181" s="38"/>
      <c r="F181" s="38"/>
      <c r="G181" s="38"/>
      <c r="H181" s="38"/>
      <c r="I181" s="38"/>
      <c r="J181" s="38"/>
      <c r="K181" s="38"/>
    </row>
    <row r="182">
      <c r="B182" s="37"/>
      <c r="C182" s="37"/>
      <c r="D182" s="37"/>
      <c r="E182" s="38"/>
      <c r="F182" s="38"/>
      <c r="G182" s="38"/>
      <c r="H182" s="38"/>
      <c r="I182" s="38"/>
      <c r="J182" s="38"/>
      <c r="K182" s="38"/>
    </row>
    <row r="183">
      <c r="B183" s="37"/>
      <c r="C183" s="37"/>
      <c r="D183" s="37"/>
      <c r="E183" s="38"/>
      <c r="F183" s="38"/>
      <c r="G183" s="38"/>
      <c r="H183" s="38"/>
      <c r="I183" s="38"/>
      <c r="J183" s="38"/>
      <c r="K183" s="38"/>
    </row>
    <row r="184">
      <c r="B184" s="37"/>
      <c r="C184" s="37"/>
      <c r="D184" s="37"/>
      <c r="E184" s="38"/>
      <c r="F184" s="38"/>
      <c r="G184" s="38"/>
      <c r="H184" s="38"/>
      <c r="I184" s="38"/>
      <c r="J184" s="38"/>
      <c r="K184" s="38"/>
    </row>
    <row r="185">
      <c r="B185" s="37"/>
      <c r="C185" s="37"/>
      <c r="D185" s="37"/>
      <c r="E185" s="38"/>
      <c r="F185" s="38"/>
      <c r="G185" s="38"/>
      <c r="H185" s="38"/>
      <c r="I185" s="38"/>
      <c r="J185" s="38"/>
      <c r="K185" s="38"/>
    </row>
    <row r="186">
      <c r="B186" s="37"/>
      <c r="C186" s="37"/>
      <c r="D186" s="37"/>
      <c r="E186" s="38"/>
      <c r="F186" s="38"/>
      <c r="G186" s="38"/>
      <c r="H186" s="38"/>
      <c r="I186" s="38"/>
      <c r="J186" s="38"/>
      <c r="K186" s="38"/>
    </row>
    <row r="187">
      <c r="B187" s="37"/>
      <c r="C187" s="37"/>
      <c r="D187" s="37"/>
      <c r="E187" s="38"/>
      <c r="F187" s="38"/>
      <c r="G187" s="38"/>
      <c r="H187" s="38"/>
      <c r="I187" s="38"/>
      <c r="J187" s="38"/>
      <c r="K187" s="38"/>
    </row>
    <row r="188">
      <c r="B188" s="37"/>
      <c r="C188" s="37"/>
      <c r="D188" s="37"/>
      <c r="E188" s="38"/>
      <c r="F188" s="38"/>
      <c r="G188" s="38"/>
      <c r="H188" s="38"/>
      <c r="I188" s="38"/>
      <c r="J188" s="38"/>
      <c r="K188" s="38"/>
    </row>
    <row r="189">
      <c r="B189" s="37"/>
      <c r="C189" s="37"/>
      <c r="D189" s="37"/>
      <c r="E189" s="38"/>
      <c r="F189" s="38"/>
      <c r="G189" s="38"/>
      <c r="H189" s="38"/>
      <c r="I189" s="38"/>
      <c r="J189" s="38"/>
      <c r="K189" s="38"/>
    </row>
    <row r="190">
      <c r="B190" s="37"/>
      <c r="C190" s="37"/>
      <c r="D190" s="37"/>
      <c r="E190" s="38"/>
      <c r="F190" s="38"/>
      <c r="G190" s="38"/>
      <c r="H190" s="38"/>
      <c r="I190" s="38"/>
      <c r="J190" s="38"/>
      <c r="K190" s="38"/>
    </row>
    <row r="191">
      <c r="B191" s="37"/>
      <c r="C191" s="37"/>
      <c r="D191" s="37"/>
      <c r="E191" s="38"/>
      <c r="F191" s="38"/>
      <c r="G191" s="38"/>
      <c r="H191" s="38"/>
      <c r="I191" s="38"/>
      <c r="J191" s="38"/>
      <c r="K191" s="38"/>
    </row>
    <row r="192">
      <c r="B192" s="37"/>
      <c r="C192" s="37"/>
      <c r="D192" s="37"/>
      <c r="E192" s="38"/>
      <c r="F192" s="38"/>
      <c r="G192" s="38"/>
      <c r="H192" s="38"/>
      <c r="I192" s="38"/>
      <c r="J192" s="38"/>
      <c r="K192" s="38"/>
    </row>
    <row r="193">
      <c r="B193" s="37"/>
      <c r="C193" s="37"/>
      <c r="D193" s="37"/>
      <c r="E193" s="38"/>
      <c r="F193" s="38"/>
      <c r="G193" s="38"/>
      <c r="H193" s="38"/>
      <c r="I193" s="38"/>
      <c r="J193" s="38"/>
      <c r="K193" s="38"/>
    </row>
    <row r="194">
      <c r="B194" s="37"/>
      <c r="C194" s="37"/>
      <c r="D194" s="37"/>
      <c r="E194" s="38"/>
      <c r="F194" s="38"/>
      <c r="G194" s="38"/>
      <c r="H194" s="38"/>
      <c r="I194" s="38"/>
      <c r="J194" s="38"/>
      <c r="K194" s="38"/>
    </row>
    <row r="195">
      <c r="B195" s="37"/>
      <c r="C195" s="37"/>
      <c r="D195" s="37"/>
      <c r="E195" s="38"/>
      <c r="F195" s="38"/>
      <c r="G195" s="38"/>
      <c r="H195" s="38"/>
      <c r="I195" s="38"/>
      <c r="J195" s="38"/>
      <c r="K195" s="38"/>
    </row>
    <row r="196">
      <c r="B196" s="37"/>
      <c r="C196" s="37"/>
      <c r="D196" s="37"/>
      <c r="E196" s="38"/>
      <c r="F196" s="38"/>
      <c r="G196" s="38"/>
      <c r="H196" s="38"/>
      <c r="I196" s="38"/>
      <c r="J196" s="38"/>
      <c r="K196" s="38"/>
    </row>
    <row r="197">
      <c r="B197" s="37"/>
      <c r="C197" s="37"/>
      <c r="D197" s="37"/>
      <c r="E197" s="38"/>
      <c r="F197" s="38"/>
      <c r="G197" s="38"/>
      <c r="H197" s="38"/>
      <c r="I197" s="38"/>
      <c r="J197" s="38"/>
      <c r="K197" s="38"/>
    </row>
    <row r="198">
      <c r="B198" s="37"/>
      <c r="C198" s="37"/>
      <c r="D198" s="37"/>
      <c r="E198" s="38"/>
      <c r="F198" s="38"/>
      <c r="G198" s="38"/>
      <c r="H198" s="38"/>
      <c r="I198" s="38"/>
      <c r="J198" s="38"/>
      <c r="K198" s="38"/>
    </row>
    <row r="199">
      <c r="B199" s="37"/>
      <c r="C199" s="37"/>
      <c r="D199" s="37"/>
      <c r="E199" s="38"/>
      <c r="F199" s="38"/>
      <c r="G199" s="38"/>
      <c r="H199" s="38"/>
      <c r="I199" s="38"/>
      <c r="J199" s="38"/>
      <c r="K199" s="38"/>
    </row>
    <row r="200">
      <c r="B200" s="37"/>
      <c r="C200" s="37"/>
      <c r="D200" s="37"/>
      <c r="E200" s="38"/>
      <c r="F200" s="38"/>
      <c r="G200" s="38"/>
      <c r="H200" s="38"/>
      <c r="I200" s="38"/>
      <c r="J200" s="38"/>
      <c r="K200" s="38"/>
    </row>
    <row r="201">
      <c r="B201" s="37"/>
      <c r="C201" s="37"/>
      <c r="D201" s="37"/>
      <c r="E201" s="38"/>
      <c r="F201" s="38"/>
      <c r="G201" s="38"/>
      <c r="H201" s="38"/>
      <c r="I201" s="38"/>
      <c r="J201" s="38"/>
      <c r="K201" s="38"/>
    </row>
    <row r="202">
      <c r="B202" s="37"/>
      <c r="C202" s="37"/>
      <c r="D202" s="37"/>
      <c r="E202" s="38"/>
      <c r="F202" s="38"/>
      <c r="G202" s="38"/>
      <c r="H202" s="38"/>
      <c r="I202" s="38"/>
      <c r="J202" s="38"/>
      <c r="K202" s="38"/>
    </row>
    <row r="203">
      <c r="B203" s="37"/>
      <c r="C203" s="37"/>
      <c r="D203" s="37"/>
      <c r="E203" s="38"/>
      <c r="F203" s="38"/>
      <c r="G203" s="38"/>
      <c r="H203" s="38"/>
      <c r="I203" s="38"/>
      <c r="J203" s="38"/>
      <c r="K203" s="38"/>
    </row>
    <row r="204">
      <c r="B204" s="37"/>
      <c r="C204" s="37"/>
      <c r="D204" s="37"/>
      <c r="E204" s="38"/>
      <c r="F204" s="38"/>
      <c r="G204" s="38"/>
      <c r="H204" s="38"/>
      <c r="I204" s="38"/>
      <c r="J204" s="38"/>
      <c r="K204" s="38"/>
    </row>
    <row r="205">
      <c r="B205" s="37"/>
      <c r="C205" s="37"/>
      <c r="D205" s="37"/>
      <c r="E205" s="38"/>
      <c r="F205" s="38"/>
      <c r="G205" s="38"/>
      <c r="H205" s="38"/>
      <c r="I205" s="38"/>
      <c r="J205" s="38"/>
      <c r="K205" s="38"/>
    </row>
    <row r="206">
      <c r="B206" s="37"/>
      <c r="C206" s="37"/>
      <c r="D206" s="37"/>
      <c r="E206" s="38"/>
      <c r="F206" s="38"/>
      <c r="G206" s="38"/>
      <c r="H206" s="38"/>
      <c r="I206" s="38"/>
      <c r="J206" s="38"/>
      <c r="K206" s="38"/>
    </row>
    <row r="207">
      <c r="B207" s="37"/>
      <c r="C207" s="37"/>
      <c r="D207" s="37"/>
      <c r="E207" s="38"/>
      <c r="F207" s="38"/>
      <c r="G207" s="38"/>
      <c r="H207" s="38"/>
      <c r="I207" s="38"/>
      <c r="J207" s="38"/>
      <c r="K207" s="38"/>
    </row>
    <row r="208">
      <c r="B208" s="37"/>
      <c r="C208" s="37"/>
      <c r="D208" s="37"/>
      <c r="E208" s="38"/>
      <c r="F208" s="38"/>
      <c r="G208" s="38"/>
      <c r="H208" s="38"/>
      <c r="I208" s="38"/>
      <c r="J208" s="38"/>
      <c r="K208" s="38"/>
    </row>
    <row r="209">
      <c r="B209" s="37"/>
      <c r="C209" s="37"/>
      <c r="D209" s="37"/>
      <c r="E209" s="38"/>
      <c r="F209" s="38"/>
      <c r="G209" s="38"/>
      <c r="H209" s="38"/>
      <c r="I209" s="38"/>
      <c r="J209" s="38"/>
      <c r="K209" s="38"/>
    </row>
    <row r="210">
      <c r="B210" s="37"/>
      <c r="C210" s="37"/>
      <c r="D210" s="37"/>
      <c r="E210" s="38"/>
      <c r="F210" s="38"/>
      <c r="G210" s="38"/>
      <c r="H210" s="38"/>
      <c r="I210" s="38"/>
      <c r="J210" s="38"/>
      <c r="K210" s="38"/>
    </row>
    <row r="211">
      <c r="B211" s="37"/>
      <c r="C211" s="37"/>
      <c r="D211" s="37"/>
      <c r="E211" s="38"/>
      <c r="F211" s="38"/>
      <c r="G211" s="38"/>
      <c r="H211" s="38"/>
      <c r="I211" s="38"/>
      <c r="J211" s="38"/>
      <c r="K211" s="38"/>
    </row>
    <row r="212">
      <c r="B212" s="37"/>
      <c r="C212" s="37"/>
      <c r="D212" s="37"/>
      <c r="E212" s="38"/>
      <c r="F212" s="38"/>
      <c r="G212" s="38"/>
      <c r="H212" s="38"/>
      <c r="I212" s="38"/>
      <c r="J212" s="38"/>
      <c r="K212" s="38"/>
    </row>
    <row r="213">
      <c r="B213" s="37"/>
      <c r="C213" s="37"/>
      <c r="D213" s="37"/>
      <c r="E213" s="38"/>
      <c r="F213" s="38"/>
      <c r="G213" s="38"/>
      <c r="H213" s="38"/>
      <c r="I213" s="38"/>
      <c r="J213" s="38"/>
      <c r="K213" s="38"/>
    </row>
    <row r="214">
      <c r="B214" s="37"/>
      <c r="C214" s="37"/>
      <c r="D214" s="37"/>
      <c r="E214" s="38"/>
      <c r="F214" s="38"/>
      <c r="G214" s="38"/>
      <c r="H214" s="38"/>
      <c r="I214" s="38"/>
      <c r="J214" s="38"/>
      <c r="K214" s="38"/>
    </row>
    <row r="215">
      <c r="B215" s="37"/>
      <c r="C215" s="37"/>
      <c r="D215" s="37"/>
      <c r="E215" s="38"/>
      <c r="F215" s="38"/>
      <c r="G215" s="38"/>
      <c r="H215" s="38"/>
      <c r="I215" s="38"/>
      <c r="J215" s="38"/>
      <c r="K215" s="38"/>
    </row>
    <row r="216">
      <c r="B216" s="37"/>
      <c r="C216" s="37"/>
      <c r="D216" s="37"/>
      <c r="E216" s="38"/>
      <c r="F216" s="38"/>
      <c r="G216" s="38"/>
      <c r="H216" s="38"/>
      <c r="I216" s="38"/>
      <c r="J216" s="38"/>
      <c r="K216" s="38"/>
    </row>
    <row r="217">
      <c r="B217" s="37"/>
      <c r="C217" s="37"/>
      <c r="D217" s="37"/>
      <c r="E217" s="38"/>
      <c r="F217" s="38"/>
      <c r="G217" s="38"/>
      <c r="H217" s="38"/>
      <c r="I217" s="38"/>
      <c r="J217" s="38"/>
      <c r="K217" s="38"/>
    </row>
    <row r="218">
      <c r="B218" s="37"/>
      <c r="C218" s="37"/>
      <c r="D218" s="37"/>
      <c r="E218" s="38"/>
      <c r="F218" s="38"/>
      <c r="G218" s="38"/>
      <c r="H218" s="38"/>
      <c r="I218" s="38"/>
      <c r="J218" s="38"/>
      <c r="K218" s="38"/>
    </row>
    <row r="219">
      <c r="B219" s="37"/>
      <c r="C219" s="37"/>
      <c r="D219" s="37"/>
      <c r="E219" s="38"/>
      <c r="F219" s="38"/>
      <c r="G219" s="38"/>
      <c r="H219" s="38"/>
      <c r="I219" s="38"/>
      <c r="J219" s="38"/>
      <c r="K219" s="38"/>
    </row>
    <row r="220">
      <c r="B220" s="37"/>
      <c r="C220" s="37"/>
      <c r="D220" s="37"/>
      <c r="E220" s="38"/>
      <c r="F220" s="38"/>
      <c r="G220" s="38"/>
      <c r="H220" s="38"/>
      <c r="I220" s="38"/>
      <c r="J220" s="38"/>
      <c r="K220" s="38"/>
    </row>
    <row r="221">
      <c r="B221" s="37"/>
      <c r="C221" s="37"/>
      <c r="D221" s="37"/>
      <c r="E221" s="38"/>
      <c r="F221" s="38"/>
      <c r="G221" s="38"/>
      <c r="H221" s="38"/>
      <c r="I221" s="38"/>
      <c r="J221" s="38"/>
      <c r="K221" s="38"/>
    </row>
    <row r="222">
      <c r="B222" s="37"/>
      <c r="C222" s="37"/>
      <c r="D222" s="37"/>
      <c r="E222" s="38"/>
      <c r="F222" s="38"/>
      <c r="G222" s="38"/>
      <c r="H222" s="38"/>
      <c r="I222" s="38"/>
      <c r="J222" s="38"/>
      <c r="K222" s="38"/>
    </row>
    <row r="223">
      <c r="B223" s="37"/>
      <c r="C223" s="37"/>
      <c r="D223" s="37"/>
      <c r="E223" s="38"/>
      <c r="F223" s="38"/>
      <c r="G223" s="38"/>
      <c r="H223" s="38"/>
      <c r="I223" s="38"/>
      <c r="J223" s="38"/>
      <c r="K223" s="38"/>
    </row>
    <row r="224">
      <c r="B224" s="37"/>
      <c r="C224" s="37"/>
      <c r="D224" s="37"/>
      <c r="E224" s="38"/>
      <c r="F224" s="38"/>
      <c r="G224" s="38"/>
      <c r="H224" s="38"/>
      <c r="I224" s="38"/>
      <c r="J224" s="38"/>
      <c r="K224" s="38"/>
    </row>
    <row r="225">
      <c r="B225" s="37"/>
      <c r="C225" s="37"/>
      <c r="D225" s="37"/>
      <c r="E225" s="38"/>
      <c r="F225" s="38"/>
      <c r="G225" s="38"/>
      <c r="H225" s="38"/>
      <c r="I225" s="38"/>
      <c r="J225" s="38"/>
      <c r="K225" s="38"/>
    </row>
    <row r="226">
      <c r="B226" s="37"/>
      <c r="C226" s="37"/>
      <c r="D226" s="37"/>
      <c r="E226" s="38"/>
      <c r="F226" s="38"/>
      <c r="G226" s="38"/>
      <c r="H226" s="38"/>
      <c r="I226" s="38"/>
      <c r="J226" s="38"/>
      <c r="K226" s="38"/>
    </row>
    <row r="227">
      <c r="B227" s="37"/>
      <c r="C227" s="37"/>
      <c r="D227" s="37"/>
      <c r="E227" s="38"/>
      <c r="F227" s="38"/>
      <c r="G227" s="38"/>
      <c r="H227" s="38"/>
      <c r="I227" s="38"/>
      <c r="J227" s="38"/>
      <c r="K227" s="38"/>
    </row>
    <row r="228">
      <c r="B228" s="37"/>
      <c r="C228" s="37"/>
      <c r="D228" s="37"/>
      <c r="E228" s="38"/>
      <c r="F228" s="38"/>
      <c r="G228" s="38"/>
      <c r="H228" s="38"/>
      <c r="I228" s="38"/>
      <c r="J228" s="38"/>
      <c r="K228" s="38"/>
    </row>
    <row r="229">
      <c r="B229" s="37"/>
      <c r="C229" s="37"/>
      <c r="D229" s="37"/>
      <c r="E229" s="38"/>
      <c r="F229" s="38"/>
      <c r="G229" s="38"/>
      <c r="H229" s="38"/>
      <c r="I229" s="38"/>
      <c r="J229" s="38"/>
      <c r="K229" s="38"/>
    </row>
    <row r="230">
      <c r="B230" s="37"/>
      <c r="C230" s="37"/>
      <c r="D230" s="37"/>
      <c r="E230" s="38"/>
      <c r="F230" s="38"/>
      <c r="G230" s="38"/>
      <c r="H230" s="38"/>
      <c r="I230" s="38"/>
      <c r="J230" s="38"/>
      <c r="K230" s="38"/>
    </row>
    <row r="231">
      <c r="B231" s="37"/>
      <c r="C231" s="37"/>
      <c r="D231" s="37"/>
      <c r="E231" s="38"/>
      <c r="F231" s="38"/>
      <c r="G231" s="38"/>
      <c r="H231" s="38"/>
      <c r="I231" s="38"/>
      <c r="J231" s="38"/>
      <c r="K231" s="38"/>
    </row>
    <row r="232">
      <c r="B232" s="37"/>
      <c r="C232" s="37"/>
      <c r="D232" s="37"/>
      <c r="E232" s="38"/>
      <c r="F232" s="38"/>
      <c r="G232" s="38"/>
      <c r="H232" s="38"/>
      <c r="I232" s="38"/>
      <c r="J232" s="38"/>
      <c r="K232" s="38"/>
    </row>
    <row r="233">
      <c r="B233" s="37"/>
      <c r="C233" s="37"/>
      <c r="D233" s="37"/>
      <c r="E233" s="38"/>
      <c r="F233" s="38"/>
      <c r="G233" s="38"/>
      <c r="H233" s="38"/>
      <c r="I233" s="38"/>
      <c r="J233" s="38"/>
      <c r="K233" s="38"/>
    </row>
    <row r="234">
      <c r="B234" s="37"/>
      <c r="C234" s="37"/>
      <c r="D234" s="37"/>
      <c r="E234" s="38"/>
      <c r="F234" s="38"/>
      <c r="G234" s="38"/>
      <c r="H234" s="38"/>
      <c r="I234" s="38"/>
      <c r="J234" s="38"/>
      <c r="K234" s="38"/>
    </row>
    <row r="235">
      <c r="B235" s="37"/>
      <c r="C235" s="37"/>
      <c r="D235" s="37"/>
      <c r="E235" s="38"/>
      <c r="F235" s="38"/>
      <c r="G235" s="38"/>
      <c r="H235" s="38"/>
      <c r="I235" s="38"/>
      <c r="J235" s="38"/>
      <c r="K235" s="38"/>
    </row>
    <row r="236">
      <c r="B236" s="37"/>
      <c r="C236" s="37"/>
      <c r="D236" s="37"/>
      <c r="E236" s="38"/>
      <c r="F236" s="38"/>
      <c r="G236" s="38"/>
      <c r="H236" s="38"/>
      <c r="I236" s="38"/>
      <c r="J236" s="38"/>
      <c r="K236" s="38"/>
    </row>
    <row r="237">
      <c r="B237" s="37"/>
      <c r="C237" s="37"/>
      <c r="D237" s="37"/>
      <c r="E237" s="38"/>
      <c r="F237" s="38"/>
      <c r="G237" s="38"/>
      <c r="H237" s="38"/>
      <c r="I237" s="38"/>
      <c r="J237" s="38"/>
      <c r="K237" s="38"/>
    </row>
    <row r="238">
      <c r="B238" s="37"/>
      <c r="C238" s="37"/>
      <c r="D238" s="37"/>
      <c r="E238" s="38"/>
      <c r="F238" s="38"/>
      <c r="G238" s="38"/>
      <c r="H238" s="38"/>
      <c r="I238" s="38"/>
      <c r="J238" s="38"/>
      <c r="K238" s="38"/>
    </row>
    <row r="239">
      <c r="B239" s="37"/>
      <c r="C239" s="37"/>
      <c r="D239" s="37"/>
      <c r="E239" s="38"/>
      <c r="F239" s="38"/>
      <c r="G239" s="38"/>
      <c r="H239" s="38"/>
      <c r="I239" s="38"/>
      <c r="J239" s="38"/>
      <c r="K239" s="38"/>
    </row>
    <row r="240">
      <c r="B240" s="37"/>
      <c r="C240" s="37"/>
      <c r="D240" s="37"/>
      <c r="E240" s="38"/>
      <c r="F240" s="38"/>
      <c r="G240" s="38"/>
      <c r="H240" s="38"/>
      <c r="I240" s="38"/>
      <c r="J240" s="38"/>
      <c r="K240" s="38"/>
    </row>
    <row r="241">
      <c r="B241" s="37"/>
      <c r="C241" s="37"/>
      <c r="D241" s="37"/>
      <c r="E241" s="38"/>
      <c r="F241" s="38"/>
      <c r="G241" s="38"/>
      <c r="H241" s="38"/>
      <c r="I241" s="38"/>
      <c r="J241" s="38"/>
      <c r="K241" s="38"/>
    </row>
    <row r="242">
      <c r="B242" s="37"/>
      <c r="C242" s="37"/>
      <c r="D242" s="37"/>
      <c r="E242" s="38"/>
      <c r="F242" s="38"/>
      <c r="G242" s="38"/>
      <c r="H242" s="38"/>
      <c r="I242" s="38"/>
      <c r="J242" s="38"/>
      <c r="K242" s="38"/>
    </row>
    <row r="243">
      <c r="B243" s="37"/>
      <c r="C243" s="37"/>
      <c r="D243" s="37"/>
      <c r="E243" s="38"/>
      <c r="F243" s="38"/>
      <c r="G243" s="38"/>
      <c r="H243" s="38"/>
      <c r="I243" s="38"/>
      <c r="J243" s="38"/>
      <c r="K243" s="38"/>
    </row>
    <row r="244">
      <c r="B244" s="37"/>
      <c r="C244" s="37"/>
      <c r="D244" s="37"/>
      <c r="E244" s="38"/>
      <c r="F244" s="38"/>
      <c r="G244" s="38"/>
      <c r="H244" s="38"/>
      <c r="I244" s="38"/>
      <c r="J244" s="38"/>
      <c r="K244" s="38"/>
    </row>
    <row r="245">
      <c r="B245" s="37"/>
      <c r="C245" s="37"/>
      <c r="D245" s="37"/>
      <c r="E245" s="38"/>
      <c r="F245" s="38"/>
      <c r="G245" s="38"/>
      <c r="H245" s="38"/>
      <c r="I245" s="38"/>
      <c r="J245" s="38"/>
      <c r="K245" s="38"/>
    </row>
    <row r="246">
      <c r="B246" s="37"/>
      <c r="C246" s="37"/>
      <c r="D246" s="37"/>
      <c r="E246" s="38"/>
      <c r="F246" s="38"/>
      <c r="G246" s="38"/>
      <c r="H246" s="38"/>
      <c r="I246" s="38"/>
      <c r="J246" s="38"/>
      <c r="K246" s="38"/>
    </row>
    <row r="247">
      <c r="B247" s="37"/>
      <c r="C247" s="37"/>
      <c r="D247" s="37"/>
      <c r="E247" s="38"/>
      <c r="F247" s="38"/>
      <c r="G247" s="38"/>
      <c r="H247" s="38"/>
      <c r="I247" s="38"/>
      <c r="J247" s="38"/>
      <c r="K247" s="38"/>
    </row>
    <row r="248">
      <c r="B248" s="37"/>
      <c r="C248" s="37"/>
      <c r="D248" s="37"/>
      <c r="E248" s="38"/>
      <c r="F248" s="38"/>
      <c r="G248" s="38"/>
      <c r="H248" s="38"/>
      <c r="I248" s="38"/>
      <c r="J248" s="38"/>
      <c r="K248" s="38"/>
    </row>
    <row r="249">
      <c r="B249" s="37"/>
      <c r="C249" s="37"/>
      <c r="D249" s="37"/>
      <c r="E249" s="38"/>
      <c r="F249" s="38"/>
      <c r="G249" s="38"/>
      <c r="H249" s="38"/>
      <c r="I249" s="38"/>
      <c r="J249" s="38"/>
      <c r="K249" s="38"/>
    </row>
    <row r="250">
      <c r="B250" s="37"/>
      <c r="C250" s="37"/>
      <c r="D250" s="37"/>
      <c r="E250" s="38"/>
      <c r="F250" s="38"/>
      <c r="G250" s="38"/>
      <c r="H250" s="38"/>
      <c r="I250" s="38"/>
      <c r="J250" s="38"/>
      <c r="K250" s="38"/>
    </row>
    <row r="251">
      <c r="B251" s="37"/>
      <c r="C251" s="37"/>
      <c r="D251" s="37"/>
      <c r="E251" s="38"/>
      <c r="F251" s="38"/>
      <c r="G251" s="38"/>
      <c r="H251" s="38"/>
      <c r="I251" s="38"/>
      <c r="J251" s="38"/>
      <c r="K251" s="38"/>
    </row>
    <row r="252">
      <c r="B252" s="37"/>
      <c r="C252" s="37"/>
      <c r="D252" s="37"/>
      <c r="E252" s="38"/>
      <c r="F252" s="38"/>
      <c r="G252" s="38"/>
      <c r="H252" s="38"/>
      <c r="I252" s="38"/>
      <c r="J252" s="38"/>
      <c r="K252" s="38"/>
    </row>
    <row r="253">
      <c r="B253" s="37"/>
      <c r="C253" s="37"/>
      <c r="D253" s="37"/>
      <c r="E253" s="38"/>
      <c r="F253" s="38"/>
      <c r="G253" s="38"/>
      <c r="H253" s="38"/>
      <c r="I253" s="38"/>
      <c r="J253" s="38"/>
      <c r="K253" s="38"/>
    </row>
    <row r="254">
      <c r="B254" s="37"/>
      <c r="C254" s="37"/>
      <c r="D254" s="37"/>
      <c r="E254" s="38"/>
      <c r="F254" s="38"/>
      <c r="G254" s="38"/>
      <c r="H254" s="38"/>
      <c r="I254" s="38"/>
      <c r="J254" s="38"/>
      <c r="K254" s="38"/>
    </row>
    <row r="255">
      <c r="B255" s="37"/>
      <c r="C255" s="37"/>
      <c r="D255" s="37"/>
      <c r="E255" s="38"/>
      <c r="F255" s="38"/>
      <c r="G255" s="38"/>
      <c r="H255" s="38"/>
      <c r="I255" s="38"/>
      <c r="J255" s="38"/>
      <c r="K255" s="38"/>
    </row>
    <row r="256">
      <c r="B256" s="37"/>
      <c r="C256" s="37"/>
      <c r="D256" s="37"/>
      <c r="E256" s="38"/>
      <c r="F256" s="38"/>
      <c r="G256" s="38"/>
      <c r="H256" s="38"/>
      <c r="I256" s="38"/>
      <c r="J256" s="38"/>
      <c r="K256" s="38"/>
    </row>
    <row r="257">
      <c r="B257" s="37"/>
      <c r="C257" s="37"/>
      <c r="D257" s="37"/>
      <c r="E257" s="38"/>
      <c r="F257" s="38"/>
      <c r="G257" s="38"/>
      <c r="H257" s="38"/>
      <c r="I257" s="38"/>
      <c r="J257" s="38"/>
      <c r="K257" s="38"/>
    </row>
    <row r="258">
      <c r="B258" s="37"/>
      <c r="C258" s="37"/>
      <c r="D258" s="37"/>
      <c r="E258" s="38"/>
      <c r="F258" s="38"/>
      <c r="G258" s="38"/>
      <c r="H258" s="38"/>
      <c r="I258" s="38"/>
      <c r="J258" s="38"/>
      <c r="K258" s="38"/>
    </row>
    <row r="259">
      <c r="B259" s="37"/>
      <c r="C259" s="37"/>
      <c r="D259" s="37"/>
      <c r="E259" s="38"/>
      <c r="F259" s="38"/>
      <c r="G259" s="38"/>
      <c r="H259" s="38"/>
      <c r="I259" s="38"/>
      <c r="J259" s="38"/>
      <c r="K259" s="38"/>
    </row>
    <row r="260">
      <c r="B260" s="37"/>
      <c r="C260" s="37"/>
      <c r="D260" s="37"/>
      <c r="E260" s="38"/>
      <c r="F260" s="38"/>
      <c r="G260" s="38"/>
      <c r="H260" s="38"/>
      <c r="I260" s="38"/>
      <c r="J260" s="38"/>
      <c r="K260" s="38"/>
    </row>
    <row r="261">
      <c r="B261" s="37"/>
      <c r="C261" s="37"/>
      <c r="D261" s="37"/>
      <c r="E261" s="38"/>
      <c r="F261" s="38"/>
      <c r="G261" s="38"/>
      <c r="H261" s="38"/>
      <c r="I261" s="38"/>
      <c r="J261" s="38"/>
      <c r="K261" s="38"/>
    </row>
    <row r="262">
      <c r="B262" s="37"/>
      <c r="C262" s="37"/>
      <c r="D262" s="37"/>
      <c r="E262" s="38"/>
      <c r="F262" s="38"/>
      <c r="G262" s="38"/>
      <c r="H262" s="38"/>
      <c r="I262" s="38"/>
      <c r="J262" s="38"/>
      <c r="K262" s="38"/>
    </row>
    <row r="263">
      <c r="B263" s="37"/>
      <c r="C263" s="37"/>
      <c r="D263" s="37"/>
      <c r="E263" s="38"/>
      <c r="F263" s="38"/>
      <c r="G263" s="38"/>
      <c r="H263" s="38"/>
      <c r="I263" s="38"/>
      <c r="J263" s="38"/>
      <c r="K263" s="38"/>
    </row>
    <row r="264">
      <c r="B264" s="37"/>
      <c r="C264" s="37"/>
      <c r="D264" s="37"/>
      <c r="E264" s="38"/>
      <c r="F264" s="38"/>
      <c r="G264" s="38"/>
      <c r="H264" s="38"/>
      <c r="I264" s="38"/>
      <c r="J264" s="38"/>
      <c r="K264" s="38"/>
    </row>
    <row r="265">
      <c r="B265" s="37"/>
      <c r="C265" s="37"/>
      <c r="D265" s="37"/>
      <c r="E265" s="38"/>
      <c r="F265" s="38"/>
      <c r="G265" s="38"/>
      <c r="H265" s="38"/>
      <c r="I265" s="38"/>
      <c r="J265" s="38"/>
      <c r="K265" s="38"/>
    </row>
    <row r="266">
      <c r="B266" s="37"/>
      <c r="C266" s="37"/>
      <c r="D266" s="37"/>
      <c r="E266" s="38"/>
      <c r="F266" s="38"/>
      <c r="G266" s="38"/>
      <c r="H266" s="38"/>
      <c r="I266" s="38"/>
      <c r="J266" s="38"/>
      <c r="K266" s="38"/>
    </row>
    <row r="267">
      <c r="B267" s="37"/>
      <c r="C267" s="37"/>
      <c r="D267" s="37"/>
      <c r="E267" s="38"/>
      <c r="F267" s="38"/>
      <c r="G267" s="38"/>
      <c r="H267" s="38"/>
      <c r="I267" s="38"/>
      <c r="J267" s="38"/>
      <c r="K267" s="38"/>
    </row>
    <row r="268">
      <c r="B268" s="37"/>
      <c r="C268" s="37"/>
      <c r="D268" s="37"/>
      <c r="E268" s="38"/>
      <c r="F268" s="38"/>
      <c r="G268" s="38"/>
      <c r="H268" s="38"/>
      <c r="I268" s="38"/>
      <c r="J268" s="38"/>
      <c r="K268" s="38"/>
    </row>
    <row r="269">
      <c r="B269" s="37"/>
      <c r="C269" s="37"/>
      <c r="D269" s="37"/>
      <c r="E269" s="38"/>
      <c r="F269" s="38"/>
      <c r="G269" s="38"/>
      <c r="H269" s="38"/>
      <c r="I269" s="38"/>
      <c r="J269" s="38"/>
      <c r="K269" s="38"/>
    </row>
    <row r="270">
      <c r="B270" s="37"/>
      <c r="C270" s="37"/>
      <c r="D270" s="37"/>
      <c r="E270" s="38"/>
      <c r="F270" s="38"/>
      <c r="G270" s="38"/>
      <c r="H270" s="38"/>
      <c r="I270" s="38"/>
      <c r="J270" s="38"/>
      <c r="K270" s="38"/>
    </row>
    <row r="271">
      <c r="B271" s="37"/>
      <c r="C271" s="37"/>
      <c r="D271" s="37"/>
      <c r="E271" s="38"/>
      <c r="F271" s="38"/>
      <c r="G271" s="38"/>
      <c r="H271" s="38"/>
      <c r="I271" s="38"/>
      <c r="J271" s="38"/>
      <c r="K271" s="38"/>
    </row>
    <row r="272">
      <c r="B272" s="37"/>
      <c r="C272" s="37"/>
      <c r="D272" s="37"/>
      <c r="E272" s="38"/>
      <c r="F272" s="38"/>
      <c r="G272" s="38"/>
      <c r="H272" s="38"/>
      <c r="I272" s="38"/>
      <c r="J272" s="38"/>
      <c r="K272" s="38"/>
    </row>
    <row r="273">
      <c r="B273" s="37"/>
      <c r="C273" s="37"/>
      <c r="D273" s="37"/>
      <c r="E273" s="38"/>
      <c r="F273" s="38"/>
      <c r="G273" s="38"/>
      <c r="H273" s="38"/>
      <c r="I273" s="38"/>
      <c r="J273" s="38"/>
      <c r="K273" s="38"/>
    </row>
    <row r="274">
      <c r="B274" s="37"/>
      <c r="C274" s="37"/>
      <c r="D274" s="37"/>
      <c r="E274" s="38"/>
      <c r="F274" s="38"/>
      <c r="G274" s="38"/>
      <c r="H274" s="38"/>
      <c r="I274" s="38"/>
      <c r="J274" s="38"/>
      <c r="K274" s="38"/>
    </row>
    <row r="275">
      <c r="B275" s="37"/>
      <c r="C275" s="37"/>
      <c r="D275" s="37"/>
      <c r="E275" s="38"/>
      <c r="F275" s="38"/>
      <c r="G275" s="38"/>
      <c r="H275" s="38"/>
      <c r="I275" s="38"/>
      <c r="J275" s="38"/>
      <c r="K275" s="38"/>
    </row>
    <row r="276">
      <c r="B276" s="37"/>
      <c r="C276" s="37"/>
      <c r="D276" s="37"/>
      <c r="E276" s="38"/>
      <c r="F276" s="38"/>
      <c r="G276" s="38"/>
      <c r="H276" s="38"/>
      <c r="I276" s="38"/>
      <c r="J276" s="38"/>
      <c r="K276" s="38"/>
    </row>
    <row r="277">
      <c r="B277" s="37"/>
      <c r="C277" s="37"/>
      <c r="D277" s="37"/>
      <c r="E277" s="38"/>
      <c r="F277" s="38"/>
      <c r="G277" s="38"/>
      <c r="H277" s="38"/>
      <c r="I277" s="38"/>
      <c r="J277" s="38"/>
      <c r="K277" s="38"/>
    </row>
    <row r="278">
      <c r="B278" s="37"/>
      <c r="C278" s="37"/>
      <c r="D278" s="37"/>
      <c r="E278" s="38"/>
      <c r="F278" s="38"/>
      <c r="G278" s="38"/>
      <c r="H278" s="38"/>
      <c r="I278" s="38"/>
      <c r="J278" s="38"/>
      <c r="K278" s="38"/>
    </row>
    <row r="279">
      <c r="B279" s="37"/>
      <c r="C279" s="37"/>
      <c r="D279" s="37"/>
      <c r="E279" s="38"/>
      <c r="F279" s="38"/>
      <c r="G279" s="38"/>
      <c r="H279" s="38"/>
      <c r="I279" s="38"/>
      <c r="J279" s="38"/>
      <c r="K279" s="38"/>
    </row>
    <row r="280">
      <c r="B280" s="37"/>
      <c r="C280" s="37"/>
      <c r="D280" s="37"/>
      <c r="E280" s="38"/>
      <c r="F280" s="38"/>
      <c r="G280" s="38"/>
      <c r="H280" s="38"/>
      <c r="I280" s="38"/>
      <c r="J280" s="38"/>
      <c r="K280" s="38"/>
    </row>
    <row r="281">
      <c r="B281" s="37"/>
      <c r="C281" s="37"/>
      <c r="D281" s="37"/>
      <c r="E281" s="38"/>
      <c r="F281" s="38"/>
      <c r="G281" s="38"/>
      <c r="H281" s="38"/>
      <c r="I281" s="38"/>
      <c r="J281" s="38"/>
      <c r="K281" s="38"/>
    </row>
    <row r="282">
      <c r="B282" s="37"/>
      <c r="C282" s="37"/>
      <c r="D282" s="37"/>
      <c r="E282" s="38"/>
      <c r="F282" s="38"/>
      <c r="G282" s="38"/>
      <c r="H282" s="38"/>
      <c r="I282" s="38"/>
      <c r="J282" s="38"/>
      <c r="K282" s="38"/>
    </row>
    <row r="283">
      <c r="B283" s="37"/>
      <c r="C283" s="37"/>
      <c r="D283" s="37"/>
      <c r="E283" s="38"/>
      <c r="F283" s="38"/>
      <c r="G283" s="38"/>
      <c r="H283" s="38"/>
      <c r="I283" s="38"/>
      <c r="J283" s="38"/>
      <c r="K283" s="38"/>
    </row>
    <row r="284">
      <c r="B284" s="37"/>
      <c r="C284" s="37"/>
      <c r="D284" s="37"/>
      <c r="E284" s="38"/>
      <c r="F284" s="38"/>
      <c r="G284" s="38"/>
      <c r="H284" s="38"/>
      <c r="I284" s="38"/>
      <c r="J284" s="38"/>
      <c r="K284" s="38"/>
    </row>
    <row r="285">
      <c r="B285" s="37"/>
      <c r="C285" s="37"/>
      <c r="D285" s="37"/>
      <c r="E285" s="38"/>
      <c r="F285" s="38"/>
      <c r="G285" s="38"/>
      <c r="H285" s="38"/>
      <c r="I285" s="38"/>
      <c r="J285" s="38"/>
      <c r="K285" s="38"/>
    </row>
    <row r="286">
      <c r="B286" s="37"/>
      <c r="C286" s="37"/>
      <c r="D286" s="37"/>
      <c r="E286" s="38"/>
      <c r="F286" s="38"/>
      <c r="G286" s="38"/>
      <c r="H286" s="38"/>
      <c r="I286" s="38"/>
      <c r="J286" s="38"/>
      <c r="K286" s="38"/>
    </row>
    <row r="287">
      <c r="B287" s="37"/>
      <c r="C287" s="37"/>
      <c r="D287" s="37"/>
      <c r="E287" s="38"/>
      <c r="F287" s="38"/>
      <c r="G287" s="38"/>
      <c r="H287" s="38"/>
      <c r="I287" s="38"/>
      <c r="J287" s="38"/>
      <c r="K287" s="38"/>
    </row>
    <row r="288">
      <c r="B288" s="37"/>
      <c r="C288" s="37"/>
      <c r="D288" s="37"/>
      <c r="E288" s="38"/>
      <c r="F288" s="38"/>
      <c r="G288" s="38"/>
      <c r="H288" s="38"/>
      <c r="I288" s="38"/>
      <c r="J288" s="38"/>
      <c r="K288" s="38"/>
    </row>
    <row r="289">
      <c r="B289" s="37"/>
      <c r="C289" s="37"/>
      <c r="D289" s="37"/>
      <c r="E289" s="38"/>
      <c r="F289" s="38"/>
      <c r="G289" s="38"/>
      <c r="H289" s="38"/>
      <c r="I289" s="38"/>
      <c r="J289" s="38"/>
      <c r="K289" s="38"/>
    </row>
    <row r="290">
      <c r="B290" s="37"/>
      <c r="C290" s="37"/>
      <c r="D290" s="37"/>
      <c r="E290" s="38"/>
      <c r="F290" s="38"/>
      <c r="G290" s="38"/>
      <c r="H290" s="38"/>
      <c r="I290" s="38"/>
      <c r="J290" s="38"/>
      <c r="K290" s="38"/>
    </row>
    <row r="291">
      <c r="B291" s="37"/>
      <c r="C291" s="37"/>
      <c r="D291" s="37"/>
      <c r="E291" s="38"/>
      <c r="F291" s="38"/>
      <c r="G291" s="38"/>
      <c r="H291" s="38"/>
      <c r="I291" s="38"/>
      <c r="J291" s="38"/>
      <c r="K291" s="38"/>
    </row>
    <row r="292">
      <c r="B292" s="37"/>
      <c r="C292" s="37"/>
      <c r="D292" s="37"/>
      <c r="E292" s="38"/>
      <c r="F292" s="38"/>
      <c r="G292" s="38"/>
      <c r="H292" s="38"/>
      <c r="I292" s="38"/>
      <c r="J292" s="38"/>
      <c r="K292" s="38"/>
    </row>
    <row r="293">
      <c r="B293" s="37"/>
      <c r="C293" s="37"/>
      <c r="D293" s="37"/>
      <c r="E293" s="38"/>
      <c r="F293" s="38"/>
      <c r="G293" s="38"/>
      <c r="H293" s="38"/>
      <c r="I293" s="38"/>
      <c r="J293" s="38"/>
      <c r="K293" s="38"/>
    </row>
    <row r="294">
      <c r="B294" s="37"/>
      <c r="C294" s="37"/>
      <c r="D294" s="37"/>
      <c r="E294" s="38"/>
      <c r="F294" s="38"/>
      <c r="G294" s="38"/>
      <c r="H294" s="38"/>
      <c r="I294" s="38"/>
      <c r="J294" s="38"/>
      <c r="K294" s="38"/>
    </row>
    <row r="295">
      <c r="B295" s="37"/>
      <c r="C295" s="37"/>
      <c r="D295" s="37"/>
      <c r="E295" s="38"/>
      <c r="F295" s="38"/>
      <c r="G295" s="38"/>
      <c r="H295" s="38"/>
      <c r="I295" s="38"/>
      <c r="J295" s="38"/>
      <c r="K295" s="38"/>
    </row>
    <row r="296">
      <c r="B296" s="37"/>
      <c r="C296" s="37"/>
      <c r="D296" s="37"/>
      <c r="E296" s="38"/>
      <c r="F296" s="38"/>
      <c r="G296" s="38"/>
      <c r="H296" s="38"/>
      <c r="I296" s="38"/>
      <c r="J296" s="38"/>
      <c r="K296" s="38"/>
    </row>
    <row r="297">
      <c r="B297" s="37"/>
      <c r="C297" s="37"/>
      <c r="D297" s="37"/>
      <c r="E297" s="38"/>
      <c r="F297" s="38"/>
      <c r="G297" s="38"/>
      <c r="H297" s="38"/>
      <c r="I297" s="38"/>
      <c r="J297" s="38"/>
      <c r="K297" s="38"/>
    </row>
    <row r="298">
      <c r="B298" s="37"/>
      <c r="C298" s="37"/>
      <c r="D298" s="37"/>
      <c r="E298" s="38"/>
      <c r="F298" s="38"/>
      <c r="G298" s="38"/>
      <c r="H298" s="38"/>
      <c r="I298" s="38"/>
      <c r="J298" s="38"/>
      <c r="K298" s="38"/>
    </row>
    <row r="299">
      <c r="B299" s="37"/>
      <c r="C299" s="37"/>
      <c r="D299" s="37"/>
      <c r="E299" s="38"/>
      <c r="F299" s="38"/>
      <c r="G299" s="38"/>
      <c r="H299" s="38"/>
      <c r="I299" s="38"/>
      <c r="J299" s="38"/>
      <c r="K299" s="38"/>
    </row>
    <row r="300">
      <c r="B300" s="37"/>
      <c r="C300" s="37"/>
      <c r="D300" s="37"/>
      <c r="E300" s="38"/>
      <c r="F300" s="38"/>
      <c r="G300" s="38"/>
      <c r="H300" s="38"/>
      <c r="I300" s="38"/>
      <c r="J300" s="38"/>
      <c r="K300" s="38"/>
    </row>
    <row r="301">
      <c r="B301" s="37"/>
      <c r="C301" s="37"/>
      <c r="D301" s="37"/>
      <c r="E301" s="38"/>
      <c r="F301" s="38"/>
      <c r="G301" s="38"/>
      <c r="H301" s="38"/>
      <c r="I301" s="38"/>
      <c r="J301" s="38"/>
      <c r="K301" s="38"/>
    </row>
    <row r="302">
      <c r="B302" s="37"/>
      <c r="C302" s="37"/>
      <c r="D302" s="37"/>
      <c r="E302" s="38"/>
      <c r="F302" s="38"/>
      <c r="G302" s="38"/>
      <c r="H302" s="38"/>
      <c r="I302" s="38"/>
      <c r="J302" s="38"/>
      <c r="K302" s="38"/>
    </row>
    <row r="303">
      <c r="B303" s="37"/>
      <c r="C303" s="37"/>
      <c r="D303" s="37"/>
      <c r="E303" s="38"/>
      <c r="F303" s="38"/>
      <c r="G303" s="38"/>
      <c r="H303" s="38"/>
      <c r="I303" s="38"/>
      <c r="J303" s="38"/>
      <c r="K303" s="38"/>
    </row>
    <row r="304">
      <c r="B304" s="37"/>
      <c r="C304" s="37"/>
      <c r="D304" s="37"/>
      <c r="E304" s="38"/>
      <c r="F304" s="38"/>
      <c r="G304" s="38"/>
      <c r="H304" s="38"/>
      <c r="I304" s="38"/>
      <c r="J304" s="38"/>
      <c r="K304" s="38"/>
    </row>
    <row r="305">
      <c r="B305" s="37"/>
      <c r="C305" s="37"/>
      <c r="D305" s="37"/>
      <c r="E305" s="38"/>
      <c r="F305" s="38"/>
      <c r="G305" s="38"/>
      <c r="H305" s="38"/>
      <c r="I305" s="38"/>
      <c r="J305" s="38"/>
      <c r="K305" s="38"/>
    </row>
    <row r="306">
      <c r="B306" s="37"/>
      <c r="C306" s="37"/>
      <c r="D306" s="37"/>
      <c r="E306" s="38"/>
      <c r="F306" s="38"/>
      <c r="G306" s="38"/>
      <c r="H306" s="38"/>
      <c r="I306" s="38"/>
      <c r="J306" s="38"/>
      <c r="K306" s="38"/>
    </row>
    <row r="307">
      <c r="B307" s="37"/>
      <c r="C307" s="37"/>
      <c r="D307" s="37"/>
      <c r="E307" s="38"/>
      <c r="F307" s="38"/>
      <c r="G307" s="38"/>
      <c r="H307" s="38"/>
      <c r="I307" s="38"/>
      <c r="J307" s="38"/>
      <c r="K307" s="38"/>
    </row>
    <row r="308">
      <c r="B308" s="37"/>
      <c r="C308" s="37"/>
      <c r="D308" s="37"/>
      <c r="E308" s="38"/>
      <c r="F308" s="38"/>
      <c r="G308" s="38"/>
      <c r="H308" s="38"/>
      <c r="I308" s="38"/>
      <c r="J308" s="38"/>
      <c r="K308" s="38"/>
    </row>
    <row r="309">
      <c r="B309" s="37"/>
      <c r="C309" s="37"/>
      <c r="D309" s="37"/>
      <c r="E309" s="38"/>
      <c r="F309" s="38"/>
      <c r="G309" s="38"/>
      <c r="H309" s="38"/>
      <c r="I309" s="38"/>
      <c r="J309" s="38"/>
      <c r="K309" s="38"/>
    </row>
    <row r="310">
      <c r="B310" s="37"/>
      <c r="C310" s="37"/>
      <c r="D310" s="37"/>
      <c r="E310" s="38"/>
      <c r="F310" s="38"/>
      <c r="G310" s="38"/>
      <c r="H310" s="38"/>
      <c r="I310" s="38"/>
      <c r="J310" s="38"/>
      <c r="K310" s="38"/>
    </row>
    <row r="311">
      <c r="B311" s="37"/>
      <c r="C311" s="37"/>
      <c r="D311" s="37"/>
      <c r="E311" s="38"/>
      <c r="F311" s="38"/>
      <c r="G311" s="38"/>
      <c r="H311" s="38"/>
      <c r="I311" s="38"/>
      <c r="J311" s="38"/>
      <c r="K311" s="38"/>
    </row>
    <row r="312">
      <c r="B312" s="37"/>
      <c r="C312" s="37"/>
      <c r="D312" s="37"/>
      <c r="E312" s="38"/>
      <c r="F312" s="38"/>
      <c r="G312" s="38"/>
      <c r="H312" s="38"/>
      <c r="I312" s="38"/>
      <c r="J312" s="38"/>
      <c r="K312" s="38"/>
    </row>
    <row r="313">
      <c r="B313" s="37"/>
      <c r="C313" s="37"/>
      <c r="D313" s="37"/>
      <c r="E313" s="38"/>
      <c r="F313" s="38"/>
      <c r="G313" s="38"/>
      <c r="H313" s="38"/>
      <c r="I313" s="38"/>
      <c r="J313" s="38"/>
      <c r="K313" s="38"/>
    </row>
    <row r="314">
      <c r="B314" s="37"/>
      <c r="C314" s="37"/>
      <c r="D314" s="37"/>
      <c r="E314" s="38"/>
      <c r="F314" s="38"/>
      <c r="G314" s="38"/>
      <c r="H314" s="38"/>
      <c r="I314" s="38"/>
      <c r="J314" s="38"/>
      <c r="K314" s="38"/>
    </row>
    <row r="315">
      <c r="B315" s="37"/>
      <c r="C315" s="37"/>
      <c r="D315" s="37"/>
      <c r="E315" s="38"/>
      <c r="F315" s="38"/>
      <c r="G315" s="38"/>
      <c r="H315" s="38"/>
      <c r="I315" s="38"/>
      <c r="J315" s="38"/>
      <c r="K315" s="38"/>
    </row>
    <row r="316">
      <c r="B316" s="37"/>
      <c r="C316" s="37"/>
      <c r="D316" s="37"/>
      <c r="E316" s="38"/>
      <c r="F316" s="38"/>
      <c r="G316" s="38"/>
      <c r="H316" s="38"/>
      <c r="I316" s="38"/>
      <c r="J316" s="38"/>
      <c r="K316" s="38"/>
    </row>
    <row r="317">
      <c r="B317" s="37"/>
      <c r="C317" s="37"/>
      <c r="D317" s="37"/>
      <c r="E317" s="38"/>
      <c r="F317" s="38"/>
      <c r="G317" s="38"/>
      <c r="H317" s="38"/>
      <c r="I317" s="38"/>
      <c r="J317" s="38"/>
      <c r="K317" s="38"/>
    </row>
    <row r="318">
      <c r="B318" s="37"/>
      <c r="C318" s="37"/>
      <c r="D318" s="37"/>
      <c r="E318" s="38"/>
      <c r="F318" s="38"/>
      <c r="G318" s="38"/>
      <c r="H318" s="38"/>
      <c r="I318" s="38"/>
      <c r="J318" s="38"/>
      <c r="K318" s="38"/>
    </row>
    <row r="319">
      <c r="B319" s="37"/>
      <c r="C319" s="37"/>
      <c r="D319" s="37"/>
      <c r="E319" s="38"/>
      <c r="F319" s="38"/>
      <c r="G319" s="38"/>
      <c r="H319" s="38"/>
      <c r="I319" s="38"/>
      <c r="J319" s="38"/>
      <c r="K319" s="38"/>
    </row>
    <row r="320">
      <c r="B320" s="37"/>
      <c r="C320" s="37"/>
      <c r="D320" s="37"/>
      <c r="E320" s="38"/>
      <c r="F320" s="38"/>
      <c r="G320" s="38"/>
      <c r="H320" s="38"/>
      <c r="I320" s="38"/>
      <c r="J320" s="38"/>
      <c r="K320" s="38"/>
    </row>
    <row r="321">
      <c r="B321" s="37"/>
      <c r="C321" s="37"/>
      <c r="D321" s="37"/>
      <c r="E321" s="38"/>
      <c r="F321" s="38"/>
      <c r="G321" s="38"/>
      <c r="H321" s="38"/>
      <c r="I321" s="38"/>
      <c r="J321" s="38"/>
      <c r="K321" s="38"/>
    </row>
    <row r="322">
      <c r="B322" s="37"/>
      <c r="C322" s="37"/>
      <c r="D322" s="37"/>
      <c r="E322" s="38"/>
      <c r="F322" s="38"/>
      <c r="G322" s="38"/>
      <c r="H322" s="38"/>
      <c r="I322" s="38"/>
      <c r="J322" s="38"/>
      <c r="K322" s="38"/>
    </row>
    <row r="323">
      <c r="B323" s="37"/>
      <c r="C323" s="37"/>
      <c r="D323" s="37"/>
      <c r="E323" s="38"/>
      <c r="F323" s="38"/>
      <c r="G323" s="38"/>
      <c r="H323" s="38"/>
      <c r="I323" s="38"/>
      <c r="J323" s="38"/>
      <c r="K323" s="38"/>
    </row>
    <row r="324">
      <c r="B324" s="37"/>
      <c r="C324" s="37"/>
      <c r="D324" s="37"/>
      <c r="E324" s="38"/>
      <c r="F324" s="38"/>
      <c r="G324" s="38"/>
      <c r="H324" s="38"/>
      <c r="I324" s="38"/>
      <c r="J324" s="38"/>
      <c r="K324" s="38"/>
    </row>
    <row r="325">
      <c r="B325" s="37"/>
      <c r="C325" s="37"/>
      <c r="D325" s="37"/>
      <c r="E325" s="38"/>
      <c r="F325" s="38"/>
      <c r="G325" s="38"/>
      <c r="H325" s="38"/>
      <c r="I325" s="38"/>
      <c r="J325" s="38"/>
      <c r="K325" s="38"/>
    </row>
    <row r="326">
      <c r="B326" s="37"/>
      <c r="C326" s="37"/>
      <c r="D326" s="37"/>
      <c r="E326" s="38"/>
      <c r="F326" s="38"/>
      <c r="G326" s="38"/>
      <c r="H326" s="38"/>
      <c r="I326" s="38"/>
      <c r="J326" s="38"/>
      <c r="K326" s="38"/>
    </row>
    <row r="327">
      <c r="B327" s="37"/>
      <c r="C327" s="37"/>
      <c r="D327" s="37"/>
      <c r="E327" s="38"/>
      <c r="F327" s="38"/>
      <c r="G327" s="38"/>
      <c r="H327" s="38"/>
      <c r="I327" s="38"/>
      <c r="J327" s="38"/>
      <c r="K327" s="38"/>
    </row>
    <row r="328">
      <c r="B328" s="37"/>
      <c r="C328" s="37"/>
      <c r="D328" s="37"/>
      <c r="E328" s="38"/>
      <c r="F328" s="38"/>
      <c r="G328" s="38"/>
      <c r="H328" s="38"/>
      <c r="I328" s="38"/>
      <c r="J328" s="38"/>
      <c r="K328" s="38"/>
    </row>
    <row r="329">
      <c r="B329" s="37"/>
      <c r="C329" s="37"/>
      <c r="D329" s="37"/>
      <c r="E329" s="38"/>
      <c r="F329" s="38"/>
      <c r="G329" s="38"/>
      <c r="H329" s="38"/>
      <c r="I329" s="38"/>
      <c r="J329" s="38"/>
      <c r="K329" s="38"/>
    </row>
    <row r="330">
      <c r="B330" s="37"/>
      <c r="C330" s="37"/>
      <c r="D330" s="37"/>
      <c r="E330" s="38"/>
      <c r="F330" s="38"/>
      <c r="G330" s="38"/>
      <c r="H330" s="38"/>
      <c r="I330" s="38"/>
      <c r="J330" s="38"/>
      <c r="K330" s="38"/>
    </row>
    <row r="331">
      <c r="B331" s="37"/>
      <c r="C331" s="37"/>
      <c r="D331" s="37"/>
      <c r="E331" s="38"/>
      <c r="F331" s="38"/>
      <c r="G331" s="38"/>
      <c r="H331" s="38"/>
      <c r="I331" s="38"/>
      <c r="J331" s="38"/>
      <c r="K331" s="38"/>
    </row>
    <row r="332">
      <c r="B332" s="37"/>
      <c r="C332" s="37"/>
      <c r="D332" s="37"/>
      <c r="E332" s="38"/>
      <c r="F332" s="38"/>
      <c r="G332" s="38"/>
      <c r="H332" s="38"/>
      <c r="I332" s="38"/>
      <c r="J332" s="38"/>
      <c r="K332" s="38"/>
    </row>
    <row r="333">
      <c r="B333" s="37"/>
      <c r="C333" s="37"/>
      <c r="D333" s="37"/>
      <c r="E333" s="38"/>
      <c r="F333" s="38"/>
      <c r="G333" s="38"/>
      <c r="H333" s="38"/>
      <c r="I333" s="38"/>
      <c r="J333" s="38"/>
      <c r="K333" s="38"/>
    </row>
    <row r="334">
      <c r="B334" s="37"/>
      <c r="C334" s="37"/>
      <c r="D334" s="37"/>
      <c r="E334" s="38"/>
      <c r="F334" s="38"/>
      <c r="G334" s="38"/>
      <c r="H334" s="38"/>
      <c r="I334" s="38"/>
      <c r="J334" s="38"/>
      <c r="K334" s="38"/>
    </row>
    <row r="335">
      <c r="B335" s="37"/>
      <c r="C335" s="37"/>
      <c r="D335" s="37"/>
      <c r="E335" s="38"/>
      <c r="F335" s="38"/>
      <c r="G335" s="38"/>
      <c r="H335" s="38"/>
      <c r="I335" s="38"/>
      <c r="J335" s="38"/>
      <c r="K335" s="38"/>
    </row>
    <row r="336">
      <c r="B336" s="37"/>
      <c r="C336" s="37"/>
      <c r="D336" s="37"/>
      <c r="E336" s="38"/>
      <c r="F336" s="38"/>
      <c r="G336" s="38"/>
      <c r="H336" s="38"/>
      <c r="I336" s="38"/>
      <c r="J336" s="38"/>
      <c r="K336" s="38"/>
    </row>
    <row r="337">
      <c r="B337" s="37"/>
      <c r="C337" s="37"/>
      <c r="D337" s="37"/>
      <c r="E337" s="38"/>
      <c r="F337" s="38"/>
      <c r="G337" s="38"/>
      <c r="H337" s="38"/>
      <c r="I337" s="38"/>
      <c r="J337" s="38"/>
      <c r="K337" s="38"/>
    </row>
    <row r="338">
      <c r="B338" s="37"/>
      <c r="C338" s="37"/>
      <c r="D338" s="37"/>
      <c r="E338" s="38"/>
      <c r="F338" s="38"/>
      <c r="G338" s="38"/>
      <c r="H338" s="38"/>
      <c r="I338" s="38"/>
      <c r="J338" s="38"/>
      <c r="K338" s="38"/>
    </row>
    <row r="339">
      <c r="B339" s="37"/>
      <c r="C339" s="37"/>
      <c r="D339" s="37"/>
      <c r="E339" s="38"/>
      <c r="F339" s="38"/>
      <c r="G339" s="38"/>
      <c r="H339" s="38"/>
      <c r="I339" s="38"/>
      <c r="J339" s="38"/>
      <c r="K339" s="38"/>
    </row>
    <row r="340">
      <c r="B340" s="37"/>
      <c r="C340" s="37"/>
      <c r="D340" s="37"/>
      <c r="E340" s="38"/>
      <c r="F340" s="38"/>
      <c r="G340" s="38"/>
      <c r="H340" s="38"/>
      <c r="I340" s="38"/>
      <c r="J340" s="38"/>
      <c r="K340" s="38"/>
    </row>
    <row r="341">
      <c r="B341" s="37"/>
      <c r="C341" s="37"/>
      <c r="D341" s="37"/>
      <c r="E341" s="38"/>
      <c r="F341" s="38"/>
      <c r="G341" s="38"/>
      <c r="H341" s="38"/>
      <c r="I341" s="38"/>
      <c r="J341" s="38"/>
      <c r="K341" s="38"/>
    </row>
    <row r="342">
      <c r="B342" s="37"/>
      <c r="C342" s="37"/>
      <c r="D342" s="37"/>
      <c r="E342" s="38"/>
      <c r="F342" s="38"/>
      <c r="G342" s="38"/>
      <c r="H342" s="38"/>
      <c r="I342" s="38"/>
      <c r="J342" s="38"/>
      <c r="K342" s="38"/>
    </row>
    <row r="343">
      <c r="B343" s="37"/>
      <c r="C343" s="37"/>
      <c r="D343" s="37"/>
      <c r="E343" s="38"/>
      <c r="F343" s="38"/>
      <c r="G343" s="38"/>
      <c r="H343" s="38"/>
      <c r="I343" s="38"/>
      <c r="J343" s="38"/>
      <c r="K343" s="38"/>
    </row>
    <row r="344">
      <c r="B344" s="37"/>
      <c r="C344" s="37"/>
      <c r="D344" s="37"/>
      <c r="E344" s="38"/>
      <c r="F344" s="38"/>
      <c r="G344" s="38"/>
      <c r="H344" s="38"/>
      <c r="I344" s="38"/>
      <c r="J344" s="38"/>
      <c r="K344" s="38"/>
    </row>
    <row r="345">
      <c r="B345" s="37"/>
      <c r="C345" s="37"/>
      <c r="D345" s="37"/>
      <c r="E345" s="38"/>
      <c r="F345" s="38"/>
      <c r="G345" s="38"/>
      <c r="H345" s="38"/>
      <c r="I345" s="38"/>
      <c r="J345" s="38"/>
      <c r="K345" s="38"/>
    </row>
    <row r="346">
      <c r="B346" s="37"/>
      <c r="C346" s="37"/>
      <c r="D346" s="37"/>
      <c r="E346" s="38"/>
      <c r="F346" s="38"/>
      <c r="G346" s="38"/>
      <c r="H346" s="38"/>
      <c r="I346" s="38"/>
      <c r="J346" s="38"/>
      <c r="K346" s="38"/>
    </row>
    <row r="347">
      <c r="B347" s="37"/>
      <c r="C347" s="37"/>
      <c r="D347" s="37"/>
      <c r="E347" s="38"/>
      <c r="F347" s="38"/>
      <c r="G347" s="38"/>
      <c r="H347" s="38"/>
      <c r="I347" s="38"/>
      <c r="J347" s="38"/>
      <c r="K347" s="38"/>
    </row>
    <row r="348">
      <c r="B348" s="37"/>
      <c r="C348" s="37"/>
      <c r="D348" s="37"/>
      <c r="E348" s="38"/>
      <c r="F348" s="38"/>
      <c r="G348" s="38"/>
      <c r="H348" s="38"/>
      <c r="I348" s="38"/>
      <c r="J348" s="38"/>
      <c r="K348" s="38"/>
    </row>
    <row r="349">
      <c r="B349" s="37"/>
      <c r="C349" s="37"/>
      <c r="D349" s="37"/>
      <c r="E349" s="38"/>
      <c r="F349" s="38"/>
      <c r="G349" s="38"/>
      <c r="H349" s="38"/>
      <c r="I349" s="38"/>
      <c r="J349" s="38"/>
      <c r="K349" s="38"/>
    </row>
    <row r="350">
      <c r="B350" s="37"/>
      <c r="C350" s="37"/>
      <c r="D350" s="37"/>
      <c r="E350" s="38"/>
      <c r="F350" s="38"/>
      <c r="G350" s="38"/>
      <c r="H350" s="38"/>
      <c r="I350" s="38"/>
      <c r="J350" s="38"/>
      <c r="K350" s="38"/>
    </row>
    <row r="351">
      <c r="B351" s="37"/>
      <c r="C351" s="37"/>
      <c r="D351" s="37"/>
      <c r="E351" s="38"/>
      <c r="F351" s="38"/>
      <c r="G351" s="38"/>
      <c r="H351" s="38"/>
      <c r="I351" s="38"/>
      <c r="J351" s="38"/>
      <c r="K351" s="38"/>
    </row>
    <row r="352">
      <c r="B352" s="37"/>
      <c r="C352" s="37"/>
      <c r="D352" s="37"/>
      <c r="E352" s="38"/>
      <c r="F352" s="38"/>
      <c r="G352" s="38"/>
      <c r="H352" s="38"/>
      <c r="I352" s="38"/>
      <c r="J352" s="38"/>
      <c r="K352" s="38"/>
    </row>
    <row r="353">
      <c r="B353" s="37"/>
      <c r="C353" s="37"/>
      <c r="D353" s="37"/>
      <c r="E353" s="38"/>
      <c r="F353" s="38"/>
      <c r="G353" s="38"/>
      <c r="H353" s="38"/>
      <c r="I353" s="38"/>
      <c r="J353" s="38"/>
      <c r="K353" s="38"/>
    </row>
    <row r="354">
      <c r="B354" s="37"/>
      <c r="C354" s="37"/>
      <c r="D354" s="37"/>
      <c r="E354" s="38"/>
      <c r="F354" s="38"/>
      <c r="G354" s="38"/>
      <c r="H354" s="38"/>
      <c r="I354" s="38"/>
      <c r="J354" s="38"/>
      <c r="K354" s="38"/>
    </row>
    <row r="355">
      <c r="B355" s="37"/>
      <c r="C355" s="37"/>
      <c r="D355" s="37"/>
      <c r="E355" s="38"/>
      <c r="F355" s="38"/>
      <c r="G355" s="38"/>
      <c r="H355" s="38"/>
      <c r="I355" s="38"/>
      <c r="J355" s="38"/>
      <c r="K355" s="38"/>
    </row>
    <row r="356">
      <c r="B356" s="37"/>
      <c r="C356" s="37"/>
      <c r="D356" s="37"/>
      <c r="E356" s="38"/>
      <c r="F356" s="38"/>
      <c r="G356" s="38"/>
      <c r="H356" s="38"/>
      <c r="I356" s="38"/>
      <c r="J356" s="38"/>
      <c r="K356" s="38"/>
    </row>
    <row r="357">
      <c r="B357" s="37"/>
      <c r="C357" s="37"/>
      <c r="D357" s="37"/>
      <c r="E357" s="38"/>
      <c r="F357" s="38"/>
      <c r="G357" s="38"/>
      <c r="H357" s="38"/>
      <c r="I357" s="38"/>
      <c r="J357" s="38"/>
      <c r="K357" s="38"/>
    </row>
    <row r="358">
      <c r="B358" s="37"/>
      <c r="C358" s="37"/>
      <c r="D358" s="37"/>
      <c r="E358" s="38"/>
      <c r="F358" s="38"/>
      <c r="G358" s="38"/>
      <c r="H358" s="38"/>
      <c r="I358" s="38"/>
      <c r="J358" s="38"/>
      <c r="K358" s="38"/>
    </row>
    <row r="359">
      <c r="B359" s="37"/>
      <c r="C359" s="37"/>
      <c r="D359" s="37"/>
      <c r="E359" s="38"/>
      <c r="F359" s="38"/>
      <c r="G359" s="38"/>
      <c r="H359" s="38"/>
      <c r="I359" s="38"/>
      <c r="J359" s="38"/>
      <c r="K359" s="38"/>
    </row>
    <row r="360">
      <c r="B360" s="37"/>
      <c r="C360" s="37"/>
      <c r="D360" s="37"/>
      <c r="E360" s="38"/>
      <c r="F360" s="38"/>
      <c r="G360" s="38"/>
      <c r="H360" s="38"/>
      <c r="I360" s="38"/>
      <c r="J360" s="38"/>
      <c r="K360" s="38"/>
    </row>
    <row r="361">
      <c r="B361" s="37"/>
      <c r="C361" s="37"/>
      <c r="D361" s="37"/>
      <c r="E361" s="38"/>
      <c r="F361" s="38"/>
      <c r="G361" s="38"/>
      <c r="H361" s="38"/>
      <c r="I361" s="38"/>
      <c r="J361" s="38"/>
      <c r="K361" s="38"/>
    </row>
    <row r="362">
      <c r="B362" s="37"/>
      <c r="C362" s="37"/>
      <c r="D362" s="37"/>
      <c r="E362" s="38"/>
      <c r="F362" s="38"/>
      <c r="G362" s="38"/>
      <c r="H362" s="38"/>
      <c r="I362" s="38"/>
      <c r="J362" s="38"/>
      <c r="K362" s="38"/>
    </row>
    <row r="363">
      <c r="B363" s="37"/>
      <c r="C363" s="37"/>
      <c r="D363" s="37"/>
      <c r="E363" s="38"/>
      <c r="F363" s="38"/>
      <c r="G363" s="38"/>
      <c r="H363" s="38"/>
      <c r="I363" s="38"/>
      <c r="J363" s="38"/>
      <c r="K363" s="38"/>
    </row>
    <row r="364">
      <c r="B364" s="37"/>
      <c r="C364" s="37"/>
      <c r="D364" s="37"/>
      <c r="E364" s="38"/>
      <c r="F364" s="38"/>
      <c r="G364" s="38"/>
      <c r="H364" s="38"/>
      <c r="I364" s="38"/>
      <c r="J364" s="38"/>
      <c r="K364" s="38"/>
    </row>
    <row r="365">
      <c r="B365" s="37"/>
      <c r="C365" s="37"/>
      <c r="D365" s="37"/>
      <c r="E365" s="38"/>
      <c r="F365" s="38"/>
      <c r="G365" s="38"/>
      <c r="H365" s="38"/>
      <c r="I365" s="38"/>
      <c r="J365" s="38"/>
      <c r="K365" s="38"/>
    </row>
    <row r="366">
      <c r="B366" s="37"/>
      <c r="C366" s="37"/>
      <c r="D366" s="37"/>
      <c r="E366" s="38"/>
      <c r="F366" s="38"/>
      <c r="G366" s="38"/>
      <c r="H366" s="38"/>
      <c r="I366" s="38"/>
      <c r="J366" s="38"/>
      <c r="K366" s="38"/>
    </row>
    <row r="367">
      <c r="B367" s="37"/>
      <c r="C367" s="37"/>
      <c r="D367" s="37"/>
      <c r="E367" s="38"/>
      <c r="F367" s="38"/>
      <c r="G367" s="38"/>
      <c r="H367" s="38"/>
      <c r="I367" s="38"/>
      <c r="J367" s="38"/>
      <c r="K367" s="38"/>
    </row>
    <row r="368">
      <c r="B368" s="37"/>
      <c r="C368" s="37"/>
      <c r="D368" s="37"/>
      <c r="E368" s="38"/>
      <c r="F368" s="38"/>
      <c r="G368" s="38"/>
      <c r="H368" s="38"/>
      <c r="I368" s="38"/>
      <c r="J368" s="38"/>
      <c r="K368" s="38"/>
    </row>
    <row r="369">
      <c r="B369" s="37"/>
      <c r="C369" s="37"/>
      <c r="D369" s="37"/>
      <c r="E369" s="38"/>
      <c r="F369" s="38"/>
      <c r="G369" s="38"/>
      <c r="H369" s="38"/>
      <c r="I369" s="38"/>
      <c r="J369" s="38"/>
      <c r="K369" s="38"/>
    </row>
    <row r="370">
      <c r="B370" s="37"/>
      <c r="C370" s="37"/>
      <c r="D370" s="37"/>
      <c r="E370" s="38"/>
      <c r="F370" s="38"/>
      <c r="G370" s="38"/>
      <c r="H370" s="38"/>
      <c r="I370" s="38"/>
      <c r="J370" s="38"/>
      <c r="K370" s="38"/>
    </row>
    <row r="371">
      <c r="B371" s="37"/>
      <c r="C371" s="37"/>
      <c r="D371" s="37"/>
      <c r="E371" s="38"/>
      <c r="F371" s="38"/>
      <c r="G371" s="38"/>
      <c r="H371" s="38"/>
      <c r="I371" s="38"/>
      <c r="J371" s="38"/>
      <c r="K371" s="38"/>
    </row>
    <row r="372">
      <c r="B372" s="37"/>
      <c r="C372" s="37"/>
      <c r="D372" s="37"/>
      <c r="E372" s="38"/>
      <c r="F372" s="38"/>
      <c r="G372" s="38"/>
      <c r="H372" s="38"/>
      <c r="I372" s="38"/>
      <c r="J372" s="38"/>
      <c r="K372" s="38"/>
    </row>
    <row r="373">
      <c r="B373" s="37"/>
      <c r="C373" s="37"/>
      <c r="D373" s="37"/>
      <c r="E373" s="38"/>
      <c r="F373" s="38"/>
      <c r="G373" s="38"/>
      <c r="H373" s="38"/>
      <c r="I373" s="38"/>
      <c r="J373" s="38"/>
      <c r="K373" s="38"/>
    </row>
    <row r="374">
      <c r="B374" s="37"/>
      <c r="C374" s="37"/>
      <c r="D374" s="37"/>
      <c r="E374" s="38"/>
      <c r="F374" s="38"/>
      <c r="G374" s="38"/>
      <c r="H374" s="38"/>
      <c r="I374" s="38"/>
      <c r="J374" s="38"/>
      <c r="K374" s="38"/>
    </row>
    <row r="375">
      <c r="B375" s="37"/>
      <c r="C375" s="37"/>
      <c r="D375" s="37"/>
      <c r="E375" s="38"/>
      <c r="F375" s="38"/>
      <c r="G375" s="38"/>
      <c r="H375" s="38"/>
      <c r="I375" s="38"/>
      <c r="J375" s="38"/>
      <c r="K375" s="38"/>
    </row>
    <row r="376">
      <c r="B376" s="37"/>
      <c r="C376" s="37"/>
      <c r="D376" s="37"/>
      <c r="E376" s="38"/>
      <c r="F376" s="38"/>
      <c r="G376" s="38"/>
      <c r="H376" s="38"/>
      <c r="I376" s="38"/>
      <c r="J376" s="38"/>
      <c r="K376" s="38"/>
    </row>
    <row r="377">
      <c r="B377" s="37"/>
      <c r="C377" s="37"/>
      <c r="D377" s="37"/>
      <c r="E377" s="38"/>
      <c r="F377" s="38"/>
      <c r="G377" s="38"/>
      <c r="H377" s="38"/>
      <c r="I377" s="38"/>
      <c r="J377" s="38"/>
      <c r="K377" s="38"/>
    </row>
    <row r="378">
      <c r="B378" s="37"/>
      <c r="C378" s="37"/>
      <c r="D378" s="37"/>
      <c r="E378" s="38"/>
      <c r="F378" s="38"/>
      <c r="G378" s="38"/>
      <c r="H378" s="38"/>
      <c r="I378" s="38"/>
      <c r="J378" s="38"/>
      <c r="K378" s="38"/>
    </row>
    <row r="379">
      <c r="B379" s="37"/>
      <c r="C379" s="37"/>
      <c r="D379" s="37"/>
      <c r="E379" s="38"/>
      <c r="F379" s="38"/>
      <c r="G379" s="38"/>
      <c r="H379" s="38"/>
      <c r="I379" s="38"/>
      <c r="J379" s="38"/>
      <c r="K379" s="38"/>
    </row>
    <row r="380">
      <c r="B380" s="37"/>
      <c r="C380" s="37"/>
      <c r="D380" s="37"/>
      <c r="E380" s="38"/>
      <c r="F380" s="38"/>
      <c r="G380" s="38"/>
      <c r="H380" s="38"/>
      <c r="I380" s="38"/>
      <c r="J380" s="38"/>
      <c r="K380" s="38"/>
    </row>
    <row r="381">
      <c r="B381" s="37"/>
      <c r="C381" s="37"/>
      <c r="D381" s="37"/>
      <c r="E381" s="38"/>
      <c r="F381" s="38"/>
      <c r="G381" s="38"/>
      <c r="H381" s="38"/>
      <c r="I381" s="38"/>
      <c r="J381" s="38"/>
      <c r="K381" s="38"/>
    </row>
    <row r="382">
      <c r="B382" s="37"/>
      <c r="C382" s="37"/>
      <c r="D382" s="37"/>
      <c r="E382" s="38"/>
      <c r="F382" s="38"/>
      <c r="G382" s="38"/>
      <c r="H382" s="38"/>
      <c r="I382" s="38"/>
      <c r="J382" s="38"/>
      <c r="K382" s="38"/>
    </row>
    <row r="383">
      <c r="B383" s="37"/>
      <c r="C383" s="37"/>
      <c r="D383" s="37"/>
      <c r="E383" s="38"/>
      <c r="F383" s="38"/>
      <c r="G383" s="38"/>
      <c r="H383" s="38"/>
      <c r="I383" s="38"/>
      <c r="J383" s="38"/>
      <c r="K383" s="38"/>
    </row>
    <row r="384">
      <c r="B384" s="37"/>
      <c r="C384" s="37"/>
      <c r="D384" s="37"/>
      <c r="E384" s="38"/>
      <c r="F384" s="38"/>
      <c r="G384" s="38"/>
      <c r="H384" s="38"/>
      <c r="I384" s="38"/>
      <c r="J384" s="38"/>
      <c r="K384" s="38"/>
    </row>
    <row r="385">
      <c r="B385" s="37"/>
      <c r="C385" s="37"/>
      <c r="D385" s="37"/>
      <c r="E385" s="38"/>
      <c r="F385" s="38"/>
      <c r="G385" s="38"/>
      <c r="H385" s="38"/>
      <c r="I385" s="38"/>
      <c r="J385" s="38"/>
      <c r="K385" s="38"/>
    </row>
    <row r="386">
      <c r="B386" s="37"/>
      <c r="C386" s="37"/>
      <c r="D386" s="37"/>
      <c r="E386" s="38"/>
      <c r="F386" s="38"/>
      <c r="G386" s="38"/>
      <c r="H386" s="38"/>
      <c r="I386" s="38"/>
      <c r="J386" s="38"/>
      <c r="K386" s="38"/>
    </row>
    <row r="387">
      <c r="B387" s="37"/>
      <c r="C387" s="37"/>
      <c r="D387" s="37"/>
      <c r="E387" s="38"/>
      <c r="F387" s="38"/>
      <c r="G387" s="38"/>
      <c r="H387" s="38"/>
      <c r="I387" s="38"/>
      <c r="J387" s="38"/>
      <c r="K387" s="38"/>
    </row>
    <row r="388">
      <c r="B388" s="37"/>
      <c r="C388" s="37"/>
      <c r="D388" s="37"/>
      <c r="E388" s="38"/>
      <c r="F388" s="38"/>
      <c r="G388" s="38"/>
      <c r="H388" s="38"/>
      <c r="I388" s="38"/>
      <c r="J388" s="38"/>
      <c r="K388" s="38"/>
    </row>
    <row r="389">
      <c r="B389" s="37"/>
      <c r="C389" s="37"/>
      <c r="D389" s="37"/>
      <c r="E389" s="38"/>
      <c r="F389" s="38"/>
      <c r="G389" s="38"/>
      <c r="H389" s="38"/>
      <c r="I389" s="38"/>
      <c r="J389" s="38"/>
      <c r="K389" s="38"/>
    </row>
    <row r="390">
      <c r="B390" s="37"/>
      <c r="C390" s="37"/>
      <c r="D390" s="37"/>
      <c r="E390" s="38"/>
      <c r="F390" s="38"/>
      <c r="G390" s="38"/>
      <c r="H390" s="38"/>
      <c r="I390" s="38"/>
      <c r="J390" s="38"/>
      <c r="K390" s="38"/>
    </row>
    <row r="391">
      <c r="B391" s="37"/>
      <c r="C391" s="37"/>
      <c r="D391" s="37"/>
      <c r="E391" s="38"/>
      <c r="F391" s="38"/>
      <c r="G391" s="38"/>
      <c r="H391" s="38"/>
      <c r="I391" s="38"/>
      <c r="J391" s="38"/>
      <c r="K391" s="38"/>
    </row>
    <row r="392">
      <c r="B392" s="37"/>
      <c r="C392" s="37"/>
      <c r="D392" s="37"/>
      <c r="E392" s="38"/>
      <c r="F392" s="38"/>
      <c r="G392" s="38"/>
      <c r="H392" s="38"/>
      <c r="I392" s="38"/>
      <c r="J392" s="38"/>
      <c r="K392" s="38"/>
    </row>
    <row r="393">
      <c r="B393" s="37"/>
      <c r="C393" s="37"/>
      <c r="D393" s="37"/>
      <c r="E393" s="38"/>
      <c r="F393" s="38"/>
      <c r="G393" s="38"/>
      <c r="H393" s="38"/>
      <c r="I393" s="38"/>
      <c r="J393" s="38"/>
      <c r="K393" s="38"/>
    </row>
    <row r="394">
      <c r="B394" s="37"/>
      <c r="C394" s="37"/>
      <c r="D394" s="37"/>
      <c r="E394" s="38"/>
      <c r="F394" s="38"/>
      <c r="G394" s="38"/>
      <c r="H394" s="38"/>
      <c r="I394" s="38"/>
      <c r="J394" s="38"/>
      <c r="K394" s="38"/>
    </row>
    <row r="395">
      <c r="B395" s="37"/>
      <c r="C395" s="37"/>
      <c r="D395" s="37"/>
      <c r="E395" s="38"/>
      <c r="F395" s="38"/>
      <c r="G395" s="38"/>
      <c r="H395" s="38"/>
      <c r="I395" s="38"/>
      <c r="J395" s="38"/>
      <c r="K395" s="38"/>
    </row>
    <row r="396">
      <c r="B396" s="37"/>
      <c r="C396" s="37"/>
      <c r="D396" s="37"/>
      <c r="E396" s="38"/>
      <c r="F396" s="38"/>
      <c r="G396" s="38"/>
      <c r="H396" s="38"/>
      <c r="I396" s="38"/>
      <c r="J396" s="38"/>
      <c r="K396" s="38"/>
    </row>
    <row r="397">
      <c r="B397" s="37"/>
      <c r="C397" s="37"/>
      <c r="D397" s="37"/>
      <c r="E397" s="38"/>
      <c r="F397" s="38"/>
      <c r="G397" s="38"/>
      <c r="H397" s="38"/>
      <c r="I397" s="38"/>
      <c r="J397" s="38"/>
      <c r="K397" s="38"/>
    </row>
    <row r="398">
      <c r="B398" s="37"/>
      <c r="C398" s="37"/>
      <c r="D398" s="37"/>
      <c r="E398" s="38"/>
      <c r="F398" s="38"/>
      <c r="G398" s="38"/>
      <c r="H398" s="38"/>
      <c r="I398" s="38"/>
      <c r="J398" s="38"/>
      <c r="K398" s="38"/>
    </row>
    <row r="399">
      <c r="B399" s="37"/>
      <c r="C399" s="37"/>
      <c r="D399" s="37"/>
      <c r="E399" s="38"/>
      <c r="F399" s="38"/>
      <c r="G399" s="38"/>
      <c r="H399" s="38"/>
      <c r="I399" s="38"/>
      <c r="J399" s="38"/>
      <c r="K399" s="38"/>
    </row>
    <row r="400">
      <c r="B400" s="37"/>
      <c r="C400" s="37"/>
      <c r="D400" s="37"/>
      <c r="E400" s="38"/>
      <c r="F400" s="38"/>
      <c r="G400" s="38"/>
      <c r="H400" s="38"/>
      <c r="I400" s="38"/>
      <c r="J400" s="38"/>
      <c r="K400" s="38"/>
    </row>
    <row r="401">
      <c r="B401" s="37"/>
      <c r="C401" s="37"/>
      <c r="D401" s="37"/>
      <c r="E401" s="38"/>
      <c r="F401" s="38"/>
      <c r="G401" s="38"/>
      <c r="H401" s="38"/>
      <c r="I401" s="38"/>
      <c r="J401" s="38"/>
      <c r="K401" s="38"/>
    </row>
    <row r="402">
      <c r="B402" s="37"/>
      <c r="C402" s="37"/>
      <c r="D402" s="37"/>
      <c r="E402" s="38"/>
      <c r="F402" s="38"/>
      <c r="G402" s="38"/>
      <c r="H402" s="38"/>
      <c r="I402" s="38"/>
      <c r="J402" s="38"/>
      <c r="K402" s="38"/>
    </row>
    <row r="403">
      <c r="B403" s="37"/>
      <c r="C403" s="37"/>
      <c r="D403" s="37"/>
      <c r="E403" s="38"/>
      <c r="F403" s="38"/>
      <c r="G403" s="38"/>
      <c r="H403" s="38"/>
      <c r="I403" s="38"/>
      <c r="J403" s="38"/>
      <c r="K403" s="38"/>
    </row>
    <row r="404">
      <c r="B404" s="37"/>
      <c r="C404" s="37"/>
      <c r="D404" s="37"/>
      <c r="E404" s="38"/>
      <c r="F404" s="38"/>
      <c r="G404" s="38"/>
      <c r="H404" s="38"/>
      <c r="I404" s="38"/>
      <c r="J404" s="38"/>
      <c r="K404" s="38"/>
    </row>
    <row r="405">
      <c r="B405" s="37"/>
      <c r="C405" s="37"/>
      <c r="D405" s="37"/>
      <c r="E405" s="38"/>
      <c r="F405" s="38"/>
      <c r="G405" s="38"/>
      <c r="H405" s="38"/>
      <c r="I405" s="38"/>
      <c r="J405" s="38"/>
      <c r="K405" s="38"/>
    </row>
    <row r="406">
      <c r="B406" s="37"/>
      <c r="C406" s="37"/>
      <c r="D406" s="37"/>
      <c r="E406" s="38"/>
      <c r="F406" s="38"/>
      <c r="G406" s="38"/>
      <c r="H406" s="38"/>
      <c r="I406" s="38"/>
      <c r="J406" s="38"/>
      <c r="K406" s="38"/>
    </row>
    <row r="407">
      <c r="B407" s="37"/>
      <c r="C407" s="37"/>
      <c r="D407" s="37"/>
      <c r="E407" s="38"/>
      <c r="F407" s="38"/>
      <c r="G407" s="38"/>
      <c r="H407" s="38"/>
      <c r="I407" s="38"/>
      <c r="J407" s="38"/>
      <c r="K407" s="38"/>
    </row>
    <row r="408">
      <c r="B408" s="37"/>
      <c r="C408" s="37"/>
      <c r="D408" s="37"/>
      <c r="E408" s="38"/>
      <c r="F408" s="38"/>
      <c r="G408" s="38"/>
      <c r="H408" s="38"/>
      <c r="I408" s="38"/>
      <c r="J408" s="38"/>
      <c r="K408" s="38"/>
    </row>
    <row r="409">
      <c r="B409" s="37"/>
      <c r="C409" s="37"/>
      <c r="D409" s="37"/>
      <c r="E409" s="38"/>
      <c r="F409" s="38"/>
      <c r="G409" s="38"/>
      <c r="H409" s="38"/>
      <c r="I409" s="38"/>
      <c r="J409" s="38"/>
      <c r="K409" s="38"/>
    </row>
    <row r="410">
      <c r="B410" s="37"/>
      <c r="C410" s="37"/>
      <c r="D410" s="37"/>
      <c r="E410" s="38"/>
      <c r="F410" s="38"/>
      <c r="G410" s="38"/>
      <c r="H410" s="38"/>
      <c r="I410" s="38"/>
      <c r="J410" s="38"/>
      <c r="K410" s="38"/>
    </row>
    <row r="411">
      <c r="B411" s="37"/>
      <c r="C411" s="37"/>
      <c r="D411" s="37"/>
      <c r="E411" s="38"/>
      <c r="F411" s="38"/>
      <c r="G411" s="38"/>
      <c r="H411" s="38"/>
      <c r="I411" s="38"/>
      <c r="J411" s="38"/>
      <c r="K411" s="38"/>
    </row>
    <row r="412">
      <c r="B412" s="37"/>
      <c r="C412" s="37"/>
      <c r="D412" s="37"/>
      <c r="E412" s="38"/>
      <c r="F412" s="38"/>
      <c r="G412" s="38"/>
      <c r="H412" s="38"/>
      <c r="I412" s="38"/>
      <c r="J412" s="38"/>
      <c r="K412" s="38"/>
    </row>
    <row r="413">
      <c r="B413" s="37"/>
      <c r="C413" s="37"/>
      <c r="D413" s="37"/>
      <c r="E413" s="38"/>
      <c r="F413" s="38"/>
      <c r="G413" s="38"/>
      <c r="H413" s="38"/>
      <c r="I413" s="38"/>
      <c r="J413" s="38"/>
      <c r="K413" s="38"/>
    </row>
    <row r="414">
      <c r="B414" s="37"/>
      <c r="C414" s="37"/>
      <c r="D414" s="37"/>
      <c r="E414" s="38"/>
      <c r="F414" s="38"/>
      <c r="G414" s="38"/>
      <c r="H414" s="38"/>
      <c r="I414" s="38"/>
      <c r="J414" s="38"/>
      <c r="K414" s="38"/>
    </row>
    <row r="415">
      <c r="B415" s="37"/>
      <c r="C415" s="37"/>
      <c r="D415" s="37"/>
      <c r="E415" s="38"/>
      <c r="F415" s="38"/>
      <c r="G415" s="38"/>
      <c r="H415" s="38"/>
      <c r="I415" s="38"/>
      <c r="J415" s="38"/>
      <c r="K415" s="38"/>
    </row>
    <row r="416">
      <c r="B416" s="37"/>
      <c r="C416" s="37"/>
      <c r="D416" s="37"/>
      <c r="E416" s="38"/>
      <c r="F416" s="38"/>
      <c r="G416" s="38"/>
      <c r="H416" s="38"/>
      <c r="I416" s="38"/>
      <c r="J416" s="38"/>
      <c r="K416" s="38"/>
    </row>
    <row r="417">
      <c r="B417" s="37"/>
      <c r="C417" s="37"/>
      <c r="D417" s="37"/>
      <c r="E417" s="38"/>
      <c r="F417" s="38"/>
      <c r="G417" s="38"/>
      <c r="H417" s="38"/>
      <c r="I417" s="38"/>
      <c r="J417" s="38"/>
      <c r="K417" s="38"/>
    </row>
    <row r="418">
      <c r="B418" s="37"/>
      <c r="C418" s="37"/>
      <c r="D418" s="37"/>
      <c r="E418" s="38"/>
      <c r="F418" s="38"/>
      <c r="G418" s="38"/>
      <c r="H418" s="38"/>
      <c r="I418" s="38"/>
      <c r="J418" s="38"/>
      <c r="K418" s="38"/>
    </row>
    <row r="419">
      <c r="B419" s="37"/>
      <c r="C419" s="37"/>
      <c r="D419" s="37"/>
      <c r="E419" s="38"/>
      <c r="F419" s="38"/>
      <c r="G419" s="38"/>
      <c r="H419" s="38"/>
      <c r="I419" s="38"/>
      <c r="J419" s="38"/>
      <c r="K419" s="38"/>
    </row>
    <row r="420">
      <c r="B420" s="37"/>
      <c r="C420" s="37"/>
      <c r="D420" s="37"/>
      <c r="E420" s="38"/>
      <c r="F420" s="38"/>
      <c r="G420" s="38"/>
      <c r="H420" s="38"/>
      <c r="I420" s="38"/>
      <c r="J420" s="38"/>
      <c r="K420" s="38"/>
    </row>
    <row r="421">
      <c r="B421" s="37"/>
      <c r="C421" s="37"/>
      <c r="D421" s="37"/>
      <c r="E421" s="38"/>
      <c r="F421" s="38"/>
      <c r="G421" s="38"/>
      <c r="H421" s="38"/>
      <c r="I421" s="38"/>
      <c r="J421" s="38"/>
      <c r="K421" s="38"/>
    </row>
    <row r="422">
      <c r="B422" s="37"/>
      <c r="C422" s="37"/>
      <c r="D422" s="37"/>
      <c r="E422" s="38"/>
      <c r="F422" s="38"/>
      <c r="G422" s="38"/>
      <c r="H422" s="38"/>
      <c r="I422" s="38"/>
      <c r="J422" s="38"/>
      <c r="K422" s="38"/>
    </row>
    <row r="423">
      <c r="B423" s="37"/>
      <c r="C423" s="37"/>
      <c r="D423" s="37"/>
      <c r="E423" s="38"/>
      <c r="F423" s="38"/>
      <c r="G423" s="38"/>
      <c r="H423" s="38"/>
      <c r="I423" s="38"/>
      <c r="J423" s="38"/>
      <c r="K423" s="38"/>
    </row>
    <row r="424">
      <c r="B424" s="37"/>
      <c r="C424" s="37"/>
      <c r="D424" s="37"/>
      <c r="E424" s="38"/>
      <c r="F424" s="38"/>
      <c r="G424" s="38"/>
      <c r="H424" s="38"/>
      <c r="I424" s="38"/>
      <c r="J424" s="38"/>
      <c r="K424" s="38"/>
    </row>
    <row r="425">
      <c r="B425" s="37"/>
      <c r="C425" s="37"/>
      <c r="D425" s="37"/>
      <c r="E425" s="38"/>
      <c r="F425" s="38"/>
      <c r="G425" s="38"/>
      <c r="H425" s="38"/>
      <c r="I425" s="38"/>
      <c r="J425" s="38"/>
      <c r="K425" s="38"/>
    </row>
    <row r="426">
      <c r="B426" s="37"/>
      <c r="C426" s="37"/>
      <c r="D426" s="37"/>
      <c r="E426" s="38"/>
      <c r="F426" s="38"/>
      <c r="G426" s="38"/>
      <c r="H426" s="38"/>
      <c r="I426" s="38"/>
      <c r="J426" s="38"/>
      <c r="K426" s="38"/>
    </row>
    <row r="427">
      <c r="B427" s="37"/>
      <c r="C427" s="37"/>
      <c r="D427" s="37"/>
      <c r="E427" s="38"/>
      <c r="F427" s="38"/>
      <c r="G427" s="38"/>
      <c r="H427" s="38"/>
      <c r="I427" s="38"/>
      <c r="J427" s="38"/>
      <c r="K427" s="38"/>
    </row>
    <row r="428">
      <c r="B428" s="37"/>
      <c r="C428" s="37"/>
      <c r="D428" s="37"/>
      <c r="E428" s="38"/>
      <c r="F428" s="38"/>
      <c r="G428" s="38"/>
      <c r="H428" s="38"/>
      <c r="I428" s="38"/>
      <c r="J428" s="38"/>
      <c r="K428" s="38"/>
    </row>
    <row r="429">
      <c r="B429" s="37"/>
      <c r="C429" s="37"/>
      <c r="D429" s="37"/>
      <c r="E429" s="38"/>
      <c r="F429" s="38"/>
      <c r="G429" s="38"/>
      <c r="H429" s="38"/>
      <c r="I429" s="38"/>
      <c r="J429" s="38"/>
      <c r="K429" s="38"/>
    </row>
    <row r="430">
      <c r="B430" s="37"/>
      <c r="C430" s="37"/>
      <c r="D430" s="37"/>
      <c r="E430" s="38"/>
      <c r="F430" s="38"/>
      <c r="G430" s="38"/>
      <c r="H430" s="38"/>
      <c r="I430" s="38"/>
      <c r="J430" s="38"/>
      <c r="K430" s="38"/>
    </row>
    <row r="431">
      <c r="B431" s="37"/>
      <c r="C431" s="37"/>
      <c r="D431" s="37"/>
      <c r="E431" s="38"/>
      <c r="F431" s="38"/>
      <c r="G431" s="38"/>
      <c r="H431" s="38"/>
      <c r="I431" s="38"/>
      <c r="J431" s="38"/>
      <c r="K431" s="38"/>
    </row>
    <row r="432">
      <c r="B432" s="37"/>
      <c r="C432" s="37"/>
      <c r="D432" s="37"/>
      <c r="E432" s="38"/>
      <c r="F432" s="38"/>
      <c r="G432" s="38"/>
      <c r="H432" s="38"/>
      <c r="I432" s="38"/>
      <c r="J432" s="38"/>
      <c r="K432" s="38"/>
    </row>
    <row r="433">
      <c r="B433" s="37"/>
      <c r="C433" s="37"/>
      <c r="D433" s="37"/>
      <c r="E433" s="38"/>
      <c r="F433" s="38"/>
      <c r="G433" s="38"/>
      <c r="H433" s="38"/>
      <c r="I433" s="38"/>
      <c r="J433" s="38"/>
      <c r="K433" s="38"/>
    </row>
    <row r="434">
      <c r="B434" s="37"/>
      <c r="C434" s="37"/>
      <c r="D434" s="37"/>
      <c r="E434" s="38"/>
      <c r="F434" s="38"/>
      <c r="G434" s="38"/>
      <c r="H434" s="38"/>
      <c r="I434" s="38"/>
      <c r="J434" s="38"/>
      <c r="K434" s="38"/>
    </row>
    <row r="435">
      <c r="B435" s="37"/>
      <c r="C435" s="37"/>
      <c r="D435" s="37"/>
      <c r="E435" s="38"/>
      <c r="F435" s="38"/>
      <c r="G435" s="38"/>
      <c r="H435" s="38"/>
      <c r="I435" s="38"/>
      <c r="J435" s="38"/>
      <c r="K435" s="38"/>
    </row>
    <row r="436">
      <c r="B436" s="37"/>
      <c r="C436" s="37"/>
      <c r="D436" s="37"/>
      <c r="E436" s="38"/>
      <c r="F436" s="38"/>
      <c r="G436" s="38"/>
      <c r="H436" s="38"/>
      <c r="I436" s="38"/>
      <c r="J436" s="38"/>
      <c r="K436" s="38"/>
    </row>
    <row r="437">
      <c r="B437" s="37"/>
      <c r="C437" s="37"/>
      <c r="D437" s="37"/>
      <c r="E437" s="38"/>
      <c r="F437" s="38"/>
      <c r="G437" s="38"/>
      <c r="H437" s="38"/>
      <c r="I437" s="38"/>
      <c r="J437" s="38"/>
      <c r="K437" s="38"/>
    </row>
    <row r="438">
      <c r="B438" s="37"/>
      <c r="C438" s="37"/>
      <c r="D438" s="37"/>
      <c r="E438" s="38"/>
      <c r="F438" s="38"/>
      <c r="G438" s="38"/>
      <c r="H438" s="38"/>
      <c r="I438" s="38"/>
      <c r="J438" s="38"/>
      <c r="K438" s="38"/>
    </row>
    <row r="439">
      <c r="B439" s="37"/>
      <c r="C439" s="37"/>
      <c r="D439" s="37"/>
      <c r="E439" s="38"/>
      <c r="F439" s="38"/>
      <c r="G439" s="38"/>
      <c r="H439" s="38"/>
      <c r="I439" s="38"/>
      <c r="J439" s="38"/>
      <c r="K439" s="38"/>
    </row>
    <row r="440">
      <c r="B440" s="37"/>
      <c r="C440" s="37"/>
      <c r="D440" s="37"/>
      <c r="E440" s="38"/>
      <c r="F440" s="38"/>
      <c r="G440" s="38"/>
      <c r="H440" s="38"/>
      <c r="I440" s="38"/>
      <c r="J440" s="38"/>
      <c r="K440" s="38"/>
    </row>
    <row r="441">
      <c r="B441" s="37"/>
      <c r="C441" s="37"/>
      <c r="D441" s="37"/>
      <c r="E441" s="38"/>
      <c r="F441" s="38"/>
      <c r="G441" s="38"/>
      <c r="H441" s="38"/>
      <c r="I441" s="38"/>
      <c r="J441" s="38"/>
      <c r="K441" s="38"/>
    </row>
    <row r="442">
      <c r="B442" s="37"/>
      <c r="C442" s="37"/>
      <c r="D442" s="37"/>
      <c r="E442" s="38"/>
      <c r="F442" s="38"/>
      <c r="G442" s="38"/>
      <c r="H442" s="38"/>
      <c r="I442" s="38"/>
      <c r="J442" s="38"/>
      <c r="K442" s="38"/>
    </row>
    <row r="443">
      <c r="B443" s="37"/>
      <c r="C443" s="37"/>
      <c r="D443" s="37"/>
      <c r="E443" s="38"/>
      <c r="F443" s="38"/>
      <c r="G443" s="38"/>
      <c r="H443" s="38"/>
      <c r="I443" s="38"/>
      <c r="J443" s="38"/>
      <c r="K443" s="38"/>
    </row>
    <row r="444">
      <c r="B444" s="37"/>
      <c r="C444" s="37"/>
      <c r="D444" s="37"/>
      <c r="E444" s="38"/>
      <c r="F444" s="38"/>
      <c r="G444" s="38"/>
      <c r="H444" s="38"/>
      <c r="I444" s="38"/>
      <c r="J444" s="38"/>
      <c r="K444" s="38"/>
    </row>
    <row r="445">
      <c r="B445" s="37"/>
      <c r="C445" s="37"/>
      <c r="D445" s="37"/>
      <c r="E445" s="38"/>
      <c r="F445" s="38"/>
      <c r="G445" s="38"/>
      <c r="H445" s="38"/>
      <c r="I445" s="38"/>
      <c r="J445" s="38"/>
      <c r="K445" s="38"/>
    </row>
    <row r="446">
      <c r="B446" s="37"/>
      <c r="C446" s="37"/>
      <c r="D446" s="37"/>
      <c r="E446" s="38"/>
      <c r="F446" s="38"/>
      <c r="G446" s="38"/>
      <c r="H446" s="38"/>
      <c r="I446" s="38"/>
      <c r="J446" s="38"/>
      <c r="K446" s="38"/>
    </row>
    <row r="447">
      <c r="B447" s="37"/>
      <c r="C447" s="37"/>
      <c r="D447" s="37"/>
      <c r="E447" s="38"/>
      <c r="F447" s="38"/>
      <c r="G447" s="38"/>
      <c r="H447" s="38"/>
      <c r="I447" s="38"/>
      <c r="J447" s="38"/>
      <c r="K447" s="38"/>
    </row>
    <row r="448">
      <c r="B448" s="37"/>
      <c r="C448" s="37"/>
      <c r="D448" s="37"/>
      <c r="E448" s="38"/>
      <c r="F448" s="38"/>
      <c r="G448" s="38"/>
      <c r="H448" s="38"/>
      <c r="I448" s="38"/>
      <c r="J448" s="38"/>
      <c r="K448" s="38"/>
    </row>
    <row r="449">
      <c r="B449" s="37"/>
      <c r="C449" s="37"/>
      <c r="D449" s="37"/>
      <c r="E449" s="38"/>
      <c r="F449" s="38"/>
      <c r="G449" s="38"/>
      <c r="H449" s="38"/>
      <c r="I449" s="38"/>
      <c r="J449" s="38"/>
      <c r="K449" s="38"/>
    </row>
    <row r="450">
      <c r="B450" s="37"/>
      <c r="C450" s="37"/>
      <c r="D450" s="37"/>
      <c r="E450" s="38"/>
      <c r="F450" s="38"/>
      <c r="G450" s="38"/>
      <c r="H450" s="38"/>
      <c r="I450" s="38"/>
      <c r="J450" s="38"/>
      <c r="K450" s="38"/>
    </row>
    <row r="451">
      <c r="B451" s="37"/>
      <c r="C451" s="37"/>
      <c r="D451" s="37"/>
      <c r="E451" s="38"/>
      <c r="F451" s="38"/>
      <c r="G451" s="38"/>
      <c r="H451" s="38"/>
      <c r="I451" s="38"/>
      <c r="J451" s="38"/>
      <c r="K451" s="38"/>
    </row>
    <row r="452">
      <c r="B452" s="37"/>
      <c r="C452" s="37"/>
      <c r="D452" s="37"/>
      <c r="E452" s="38"/>
      <c r="F452" s="38"/>
      <c r="G452" s="38"/>
      <c r="H452" s="38"/>
      <c r="I452" s="38"/>
      <c r="J452" s="38"/>
      <c r="K452" s="38"/>
    </row>
    <row r="453">
      <c r="B453" s="37"/>
      <c r="C453" s="37"/>
      <c r="D453" s="37"/>
      <c r="E453" s="38"/>
      <c r="F453" s="38"/>
      <c r="G453" s="38"/>
      <c r="H453" s="38"/>
      <c r="I453" s="38"/>
      <c r="J453" s="38"/>
      <c r="K453" s="38"/>
    </row>
    <row r="454">
      <c r="B454" s="37"/>
      <c r="C454" s="37"/>
      <c r="D454" s="37"/>
      <c r="E454" s="38"/>
      <c r="F454" s="38"/>
      <c r="G454" s="38"/>
      <c r="H454" s="38"/>
      <c r="I454" s="38"/>
      <c r="J454" s="38"/>
      <c r="K454" s="38"/>
    </row>
    <row r="455">
      <c r="B455" s="37"/>
      <c r="C455" s="37"/>
      <c r="D455" s="37"/>
      <c r="E455" s="38"/>
      <c r="F455" s="38"/>
      <c r="G455" s="38"/>
      <c r="H455" s="38"/>
      <c r="I455" s="38"/>
      <c r="J455" s="38"/>
      <c r="K455" s="38"/>
    </row>
    <row r="456">
      <c r="B456" s="37"/>
      <c r="C456" s="37"/>
      <c r="D456" s="37"/>
      <c r="E456" s="38"/>
      <c r="F456" s="38"/>
      <c r="G456" s="38"/>
      <c r="H456" s="38"/>
      <c r="I456" s="38"/>
      <c r="J456" s="38"/>
      <c r="K456" s="38"/>
    </row>
    <row r="457">
      <c r="B457" s="37"/>
      <c r="C457" s="37"/>
      <c r="D457" s="37"/>
      <c r="E457" s="38"/>
      <c r="F457" s="38"/>
      <c r="G457" s="38"/>
      <c r="H457" s="38"/>
      <c r="I457" s="38"/>
      <c r="J457" s="38"/>
      <c r="K457" s="38"/>
    </row>
    <row r="458">
      <c r="B458" s="37"/>
      <c r="C458" s="37"/>
      <c r="D458" s="37"/>
      <c r="E458" s="38"/>
      <c r="F458" s="38"/>
      <c r="G458" s="38"/>
      <c r="H458" s="38"/>
      <c r="I458" s="38"/>
      <c r="J458" s="38"/>
      <c r="K458" s="38"/>
    </row>
    <row r="459">
      <c r="B459" s="37"/>
      <c r="C459" s="37"/>
      <c r="D459" s="37"/>
      <c r="E459" s="38"/>
      <c r="F459" s="38"/>
      <c r="G459" s="38"/>
      <c r="H459" s="38"/>
      <c r="I459" s="38"/>
      <c r="J459" s="38"/>
      <c r="K459" s="38"/>
    </row>
    <row r="460">
      <c r="B460" s="37"/>
      <c r="C460" s="37"/>
      <c r="D460" s="37"/>
      <c r="E460" s="38"/>
      <c r="F460" s="38"/>
      <c r="G460" s="38"/>
      <c r="H460" s="38"/>
      <c r="I460" s="38"/>
      <c r="J460" s="38"/>
      <c r="K460" s="38"/>
    </row>
    <row r="461">
      <c r="B461" s="37"/>
      <c r="C461" s="37"/>
      <c r="D461" s="37"/>
      <c r="E461" s="38"/>
      <c r="F461" s="38"/>
      <c r="G461" s="38"/>
      <c r="H461" s="38"/>
      <c r="I461" s="38"/>
      <c r="J461" s="38"/>
      <c r="K461" s="38"/>
    </row>
    <row r="462">
      <c r="B462" s="37"/>
      <c r="C462" s="37"/>
      <c r="D462" s="37"/>
      <c r="E462" s="38"/>
      <c r="F462" s="38"/>
      <c r="G462" s="38"/>
      <c r="H462" s="38"/>
      <c r="I462" s="38"/>
      <c r="J462" s="38"/>
      <c r="K462" s="38"/>
    </row>
    <row r="463">
      <c r="B463" s="37"/>
      <c r="C463" s="37"/>
      <c r="D463" s="37"/>
      <c r="E463" s="38"/>
      <c r="F463" s="38"/>
      <c r="G463" s="38"/>
      <c r="H463" s="38"/>
      <c r="I463" s="38"/>
      <c r="J463" s="38"/>
      <c r="K463" s="38"/>
    </row>
    <row r="464">
      <c r="B464" s="37"/>
      <c r="C464" s="37"/>
      <c r="D464" s="37"/>
      <c r="E464" s="38"/>
      <c r="F464" s="38"/>
      <c r="G464" s="38"/>
      <c r="H464" s="38"/>
      <c r="I464" s="38"/>
      <c r="J464" s="38"/>
      <c r="K464" s="38"/>
    </row>
    <row r="465">
      <c r="B465" s="37"/>
      <c r="C465" s="37"/>
      <c r="D465" s="37"/>
      <c r="E465" s="38"/>
      <c r="F465" s="38"/>
      <c r="G465" s="38"/>
      <c r="H465" s="38"/>
      <c r="I465" s="38"/>
      <c r="J465" s="38"/>
      <c r="K465" s="38"/>
    </row>
    <row r="466">
      <c r="B466" s="37"/>
      <c r="C466" s="37"/>
      <c r="D466" s="37"/>
      <c r="E466" s="38"/>
      <c r="F466" s="38"/>
      <c r="G466" s="38"/>
      <c r="H466" s="38"/>
      <c r="I466" s="38"/>
      <c r="J466" s="38"/>
      <c r="K466" s="38"/>
    </row>
    <row r="467">
      <c r="B467" s="37"/>
      <c r="C467" s="37"/>
      <c r="D467" s="37"/>
      <c r="E467" s="38"/>
      <c r="F467" s="38"/>
      <c r="G467" s="38"/>
      <c r="H467" s="38"/>
      <c r="I467" s="38"/>
      <c r="J467" s="38"/>
      <c r="K467" s="38"/>
    </row>
    <row r="468">
      <c r="B468" s="37"/>
      <c r="C468" s="37"/>
      <c r="D468" s="37"/>
      <c r="E468" s="38"/>
      <c r="F468" s="38"/>
      <c r="G468" s="38"/>
      <c r="H468" s="38"/>
      <c r="I468" s="38"/>
      <c r="J468" s="38"/>
      <c r="K468" s="38"/>
    </row>
    <row r="469">
      <c r="B469" s="37"/>
      <c r="C469" s="37"/>
      <c r="D469" s="37"/>
      <c r="E469" s="38"/>
      <c r="F469" s="38"/>
      <c r="G469" s="38"/>
      <c r="H469" s="38"/>
      <c r="I469" s="38"/>
      <c r="J469" s="38"/>
      <c r="K469" s="38"/>
    </row>
    <row r="470">
      <c r="B470" s="37"/>
      <c r="C470" s="37"/>
      <c r="D470" s="37"/>
      <c r="E470" s="38"/>
      <c r="F470" s="38"/>
      <c r="G470" s="38"/>
      <c r="H470" s="38"/>
      <c r="I470" s="38"/>
      <c r="J470" s="38"/>
      <c r="K470" s="38"/>
    </row>
    <row r="471">
      <c r="B471" s="37"/>
      <c r="C471" s="37"/>
      <c r="D471" s="37"/>
      <c r="E471" s="38"/>
      <c r="F471" s="38"/>
      <c r="G471" s="38"/>
      <c r="H471" s="38"/>
      <c r="I471" s="38"/>
      <c r="J471" s="38"/>
      <c r="K471" s="38"/>
    </row>
    <row r="472">
      <c r="B472" s="37"/>
      <c r="C472" s="37"/>
      <c r="D472" s="37"/>
      <c r="E472" s="38"/>
      <c r="F472" s="38"/>
      <c r="G472" s="38"/>
      <c r="H472" s="38"/>
      <c r="I472" s="38"/>
      <c r="J472" s="38"/>
      <c r="K472" s="38"/>
    </row>
    <row r="473">
      <c r="B473" s="37"/>
      <c r="C473" s="37"/>
      <c r="D473" s="37"/>
      <c r="E473" s="38"/>
      <c r="F473" s="38"/>
      <c r="G473" s="38"/>
      <c r="H473" s="38"/>
      <c r="I473" s="38"/>
      <c r="J473" s="38"/>
      <c r="K473" s="38"/>
    </row>
    <row r="474">
      <c r="B474" s="37"/>
      <c r="C474" s="37"/>
      <c r="D474" s="37"/>
      <c r="E474" s="38"/>
      <c r="F474" s="38"/>
      <c r="G474" s="38"/>
      <c r="H474" s="38"/>
      <c r="I474" s="38"/>
      <c r="J474" s="38"/>
      <c r="K474" s="38"/>
    </row>
    <row r="475">
      <c r="B475" s="37"/>
      <c r="C475" s="37"/>
      <c r="D475" s="37"/>
      <c r="E475" s="38"/>
      <c r="F475" s="38"/>
      <c r="G475" s="38"/>
      <c r="H475" s="38"/>
      <c r="I475" s="38"/>
      <c r="J475" s="38"/>
      <c r="K475" s="38"/>
    </row>
    <row r="476">
      <c r="B476" s="37"/>
      <c r="C476" s="37"/>
      <c r="D476" s="37"/>
      <c r="E476" s="38"/>
      <c r="F476" s="38"/>
      <c r="G476" s="38"/>
      <c r="H476" s="38"/>
      <c r="I476" s="38"/>
      <c r="J476" s="38"/>
      <c r="K476" s="38"/>
    </row>
    <row r="477">
      <c r="B477" s="37"/>
      <c r="C477" s="37"/>
      <c r="D477" s="37"/>
      <c r="E477" s="38"/>
      <c r="F477" s="38"/>
      <c r="G477" s="38"/>
      <c r="H477" s="38"/>
      <c r="I477" s="38"/>
      <c r="J477" s="38"/>
      <c r="K477" s="38"/>
    </row>
    <row r="478">
      <c r="B478" s="37"/>
      <c r="C478" s="37"/>
      <c r="D478" s="37"/>
      <c r="E478" s="38"/>
      <c r="F478" s="38"/>
      <c r="G478" s="38"/>
      <c r="H478" s="38"/>
      <c r="I478" s="38"/>
      <c r="J478" s="38"/>
      <c r="K478" s="38"/>
    </row>
    <row r="479">
      <c r="B479" s="37"/>
      <c r="C479" s="37"/>
      <c r="D479" s="37"/>
      <c r="E479" s="38"/>
      <c r="F479" s="38"/>
      <c r="G479" s="38"/>
      <c r="H479" s="38"/>
      <c r="I479" s="38"/>
      <c r="J479" s="38"/>
      <c r="K479" s="38"/>
    </row>
    <row r="480">
      <c r="B480" s="37"/>
      <c r="C480" s="37"/>
      <c r="D480" s="37"/>
      <c r="E480" s="38"/>
      <c r="F480" s="38"/>
      <c r="G480" s="38"/>
      <c r="H480" s="38"/>
      <c r="I480" s="38"/>
      <c r="J480" s="38"/>
      <c r="K480" s="38"/>
    </row>
    <row r="481">
      <c r="B481" s="37"/>
      <c r="C481" s="37"/>
      <c r="D481" s="37"/>
      <c r="E481" s="38"/>
      <c r="F481" s="38"/>
      <c r="G481" s="38"/>
      <c r="H481" s="38"/>
      <c r="I481" s="38"/>
      <c r="J481" s="38"/>
      <c r="K481" s="38"/>
    </row>
    <row r="482">
      <c r="B482" s="37"/>
      <c r="C482" s="37"/>
      <c r="D482" s="37"/>
      <c r="E482" s="38"/>
      <c r="F482" s="38"/>
      <c r="G482" s="38"/>
      <c r="H482" s="38"/>
      <c r="I482" s="38"/>
      <c r="J482" s="38"/>
      <c r="K482" s="38"/>
    </row>
    <row r="483">
      <c r="B483" s="37"/>
      <c r="C483" s="37"/>
      <c r="D483" s="37"/>
      <c r="E483" s="38"/>
      <c r="F483" s="38"/>
      <c r="G483" s="38"/>
      <c r="H483" s="38"/>
      <c r="I483" s="38"/>
      <c r="J483" s="38"/>
      <c r="K483" s="38"/>
    </row>
    <row r="484">
      <c r="B484" s="37"/>
      <c r="C484" s="37"/>
      <c r="D484" s="37"/>
      <c r="E484" s="38"/>
      <c r="F484" s="38"/>
      <c r="G484" s="38"/>
      <c r="H484" s="38"/>
      <c r="I484" s="38"/>
      <c r="J484" s="38"/>
      <c r="K484" s="38"/>
    </row>
    <row r="485">
      <c r="B485" s="37"/>
      <c r="C485" s="37"/>
      <c r="D485" s="37"/>
      <c r="E485" s="38"/>
      <c r="F485" s="38"/>
      <c r="G485" s="38"/>
      <c r="H485" s="38"/>
      <c r="I485" s="38"/>
      <c r="J485" s="38"/>
      <c r="K485" s="38"/>
    </row>
    <row r="486">
      <c r="B486" s="37"/>
      <c r="C486" s="37"/>
      <c r="D486" s="37"/>
      <c r="E486" s="38"/>
      <c r="F486" s="38"/>
      <c r="G486" s="38"/>
      <c r="H486" s="38"/>
      <c r="I486" s="38"/>
      <c r="J486" s="38"/>
      <c r="K486" s="38"/>
    </row>
    <row r="487">
      <c r="B487" s="37"/>
      <c r="C487" s="37"/>
      <c r="D487" s="37"/>
      <c r="E487" s="38"/>
      <c r="F487" s="38"/>
      <c r="G487" s="38"/>
      <c r="H487" s="38"/>
      <c r="I487" s="38"/>
      <c r="J487" s="38"/>
      <c r="K487" s="38"/>
    </row>
    <row r="488">
      <c r="B488" s="37"/>
      <c r="C488" s="37"/>
      <c r="D488" s="37"/>
      <c r="E488" s="38"/>
      <c r="F488" s="38"/>
      <c r="G488" s="38"/>
      <c r="H488" s="38"/>
      <c r="I488" s="38"/>
      <c r="J488" s="38"/>
      <c r="K488" s="38"/>
    </row>
    <row r="489">
      <c r="B489" s="37"/>
      <c r="C489" s="37"/>
      <c r="D489" s="37"/>
      <c r="E489" s="38"/>
      <c r="F489" s="38"/>
      <c r="G489" s="38"/>
      <c r="H489" s="38"/>
      <c r="I489" s="38"/>
      <c r="J489" s="38"/>
      <c r="K489" s="38"/>
    </row>
    <row r="490">
      <c r="B490" s="37"/>
      <c r="C490" s="37"/>
      <c r="D490" s="37"/>
      <c r="E490" s="38"/>
      <c r="F490" s="38"/>
      <c r="G490" s="38"/>
      <c r="H490" s="38"/>
      <c r="I490" s="38"/>
      <c r="J490" s="38"/>
      <c r="K490" s="38"/>
    </row>
    <row r="491">
      <c r="B491" s="37"/>
      <c r="C491" s="37"/>
      <c r="D491" s="37"/>
      <c r="E491" s="38"/>
      <c r="F491" s="38"/>
      <c r="G491" s="38"/>
      <c r="H491" s="38"/>
      <c r="I491" s="38"/>
      <c r="J491" s="38"/>
      <c r="K491" s="38"/>
    </row>
    <row r="492">
      <c r="B492" s="37"/>
      <c r="C492" s="37"/>
      <c r="D492" s="37"/>
      <c r="E492" s="38"/>
      <c r="F492" s="38"/>
      <c r="G492" s="38"/>
      <c r="H492" s="38"/>
      <c r="I492" s="38"/>
      <c r="J492" s="38"/>
      <c r="K492" s="38"/>
    </row>
    <row r="493">
      <c r="B493" s="37"/>
      <c r="C493" s="37"/>
      <c r="D493" s="37"/>
      <c r="E493" s="38"/>
      <c r="F493" s="38"/>
      <c r="G493" s="38"/>
      <c r="H493" s="38"/>
      <c r="I493" s="38"/>
      <c r="J493" s="38"/>
      <c r="K493" s="38"/>
    </row>
    <row r="494">
      <c r="B494" s="37"/>
      <c r="C494" s="37"/>
      <c r="D494" s="37"/>
      <c r="E494" s="38"/>
      <c r="F494" s="38"/>
      <c r="G494" s="38"/>
      <c r="H494" s="38"/>
      <c r="I494" s="38"/>
      <c r="J494" s="38"/>
      <c r="K494" s="38"/>
    </row>
    <row r="495">
      <c r="B495" s="37"/>
      <c r="C495" s="37"/>
      <c r="D495" s="37"/>
      <c r="E495" s="38"/>
      <c r="F495" s="38"/>
      <c r="G495" s="38"/>
      <c r="H495" s="38"/>
      <c r="I495" s="38"/>
      <c r="J495" s="38"/>
      <c r="K495" s="38"/>
    </row>
    <row r="496">
      <c r="B496" s="37"/>
      <c r="C496" s="37"/>
      <c r="D496" s="37"/>
      <c r="E496" s="38"/>
      <c r="F496" s="38"/>
      <c r="G496" s="38"/>
      <c r="H496" s="38"/>
      <c r="I496" s="38"/>
      <c r="J496" s="38"/>
      <c r="K496" s="38"/>
    </row>
    <row r="497">
      <c r="B497" s="37"/>
      <c r="C497" s="37"/>
      <c r="D497" s="37"/>
      <c r="E497" s="38"/>
      <c r="F497" s="38"/>
      <c r="G497" s="38"/>
      <c r="H497" s="38"/>
      <c r="I497" s="38"/>
      <c r="J497" s="38"/>
      <c r="K497" s="38"/>
    </row>
    <row r="498">
      <c r="B498" s="37"/>
      <c r="C498" s="37"/>
      <c r="D498" s="37"/>
      <c r="E498" s="38"/>
      <c r="F498" s="38"/>
      <c r="G498" s="38"/>
      <c r="H498" s="38"/>
      <c r="I498" s="38"/>
      <c r="J498" s="38"/>
      <c r="K498" s="38"/>
    </row>
    <row r="499">
      <c r="B499" s="37"/>
      <c r="C499" s="37"/>
      <c r="D499" s="37"/>
      <c r="E499" s="38"/>
      <c r="F499" s="38"/>
      <c r="G499" s="38"/>
      <c r="H499" s="38"/>
      <c r="I499" s="38"/>
      <c r="J499" s="38"/>
      <c r="K499" s="38"/>
    </row>
    <row r="500">
      <c r="B500" s="37"/>
      <c r="C500" s="37"/>
      <c r="D500" s="37"/>
      <c r="E500" s="38"/>
      <c r="F500" s="38"/>
      <c r="G500" s="38"/>
      <c r="H500" s="38"/>
      <c r="I500" s="38"/>
      <c r="J500" s="38"/>
      <c r="K500" s="38"/>
    </row>
    <row r="501">
      <c r="B501" s="37"/>
      <c r="C501" s="37"/>
      <c r="D501" s="37"/>
      <c r="E501" s="38"/>
      <c r="F501" s="38"/>
      <c r="G501" s="38"/>
      <c r="H501" s="38"/>
      <c r="I501" s="38"/>
      <c r="J501" s="38"/>
      <c r="K501" s="38"/>
    </row>
    <row r="502">
      <c r="B502" s="37"/>
      <c r="C502" s="37"/>
      <c r="D502" s="37"/>
      <c r="E502" s="38"/>
      <c r="F502" s="38"/>
      <c r="G502" s="38"/>
      <c r="H502" s="38"/>
      <c r="I502" s="38"/>
      <c r="J502" s="38"/>
      <c r="K502" s="38"/>
    </row>
    <row r="503">
      <c r="B503" s="37"/>
      <c r="C503" s="37"/>
      <c r="D503" s="37"/>
      <c r="E503" s="38"/>
      <c r="F503" s="38"/>
      <c r="G503" s="38"/>
      <c r="H503" s="38"/>
      <c r="I503" s="38"/>
      <c r="J503" s="38"/>
      <c r="K503" s="38"/>
    </row>
    <row r="504">
      <c r="B504" s="37"/>
      <c r="C504" s="37"/>
      <c r="D504" s="37"/>
      <c r="E504" s="38"/>
      <c r="F504" s="38"/>
      <c r="G504" s="38"/>
      <c r="H504" s="38"/>
      <c r="I504" s="38"/>
      <c r="J504" s="38"/>
      <c r="K504" s="38"/>
    </row>
    <row r="505">
      <c r="B505" s="37"/>
      <c r="C505" s="37"/>
      <c r="D505" s="37"/>
      <c r="E505" s="38"/>
      <c r="F505" s="38"/>
      <c r="G505" s="38"/>
      <c r="H505" s="38"/>
      <c r="I505" s="38"/>
      <c r="J505" s="38"/>
      <c r="K505" s="38"/>
    </row>
    <row r="506">
      <c r="B506" s="37"/>
      <c r="C506" s="37"/>
      <c r="D506" s="37"/>
      <c r="E506" s="38"/>
      <c r="F506" s="38"/>
      <c r="G506" s="38"/>
      <c r="H506" s="38"/>
      <c r="I506" s="38"/>
      <c r="J506" s="38"/>
      <c r="K506" s="38"/>
    </row>
    <row r="507">
      <c r="B507" s="37"/>
      <c r="C507" s="37"/>
      <c r="D507" s="37"/>
      <c r="E507" s="38"/>
      <c r="F507" s="38"/>
      <c r="G507" s="38"/>
      <c r="H507" s="38"/>
      <c r="I507" s="38"/>
      <c r="J507" s="38"/>
      <c r="K507" s="38"/>
    </row>
    <row r="508">
      <c r="B508" s="37"/>
      <c r="C508" s="37"/>
      <c r="D508" s="37"/>
      <c r="E508" s="38"/>
      <c r="F508" s="38"/>
      <c r="G508" s="38"/>
      <c r="H508" s="38"/>
      <c r="I508" s="38"/>
      <c r="J508" s="38"/>
      <c r="K508" s="38"/>
    </row>
    <row r="509">
      <c r="B509" s="37"/>
      <c r="C509" s="37"/>
      <c r="D509" s="37"/>
      <c r="E509" s="38"/>
      <c r="F509" s="38"/>
      <c r="G509" s="38"/>
      <c r="H509" s="38"/>
      <c r="I509" s="38"/>
      <c r="J509" s="38"/>
      <c r="K509" s="38"/>
    </row>
    <row r="510">
      <c r="B510" s="37"/>
      <c r="C510" s="37"/>
      <c r="D510" s="37"/>
      <c r="E510" s="38"/>
      <c r="F510" s="38"/>
      <c r="G510" s="38"/>
      <c r="H510" s="38"/>
      <c r="I510" s="38"/>
      <c r="J510" s="38"/>
      <c r="K510" s="38"/>
    </row>
    <row r="511">
      <c r="B511" s="37"/>
      <c r="C511" s="37"/>
      <c r="D511" s="37"/>
      <c r="E511" s="38"/>
      <c r="F511" s="38"/>
      <c r="G511" s="38"/>
      <c r="H511" s="38"/>
      <c r="I511" s="38"/>
      <c r="J511" s="38"/>
      <c r="K511" s="38"/>
    </row>
    <row r="512">
      <c r="B512" s="37"/>
      <c r="C512" s="37"/>
      <c r="D512" s="37"/>
      <c r="E512" s="38"/>
      <c r="F512" s="38"/>
      <c r="G512" s="38"/>
      <c r="H512" s="38"/>
      <c r="I512" s="38"/>
      <c r="J512" s="38"/>
      <c r="K512" s="38"/>
    </row>
    <row r="513">
      <c r="B513" s="37"/>
      <c r="C513" s="37"/>
      <c r="D513" s="37"/>
      <c r="E513" s="38"/>
      <c r="F513" s="38"/>
      <c r="G513" s="38"/>
      <c r="H513" s="38"/>
      <c r="I513" s="38"/>
      <c r="J513" s="38"/>
      <c r="K513" s="38"/>
    </row>
    <row r="514">
      <c r="B514" s="37"/>
      <c r="C514" s="37"/>
      <c r="D514" s="37"/>
      <c r="E514" s="38"/>
      <c r="F514" s="38"/>
      <c r="G514" s="38"/>
      <c r="H514" s="38"/>
      <c r="I514" s="38"/>
      <c r="J514" s="38"/>
      <c r="K514" s="38"/>
    </row>
    <row r="515">
      <c r="B515" s="37"/>
      <c r="C515" s="37"/>
      <c r="D515" s="37"/>
      <c r="E515" s="38"/>
      <c r="F515" s="38"/>
      <c r="G515" s="38"/>
      <c r="H515" s="38"/>
      <c r="I515" s="38"/>
      <c r="J515" s="38"/>
      <c r="K515" s="38"/>
    </row>
    <row r="516">
      <c r="B516" s="37"/>
      <c r="C516" s="37"/>
      <c r="D516" s="37"/>
      <c r="E516" s="38"/>
      <c r="F516" s="38"/>
      <c r="G516" s="38"/>
      <c r="H516" s="38"/>
      <c r="I516" s="38"/>
      <c r="J516" s="38"/>
      <c r="K516" s="38"/>
    </row>
    <row r="517">
      <c r="B517" s="37"/>
      <c r="C517" s="37"/>
      <c r="D517" s="37"/>
      <c r="E517" s="38"/>
      <c r="F517" s="38"/>
      <c r="G517" s="38"/>
      <c r="H517" s="38"/>
      <c r="I517" s="38"/>
      <c r="J517" s="38"/>
      <c r="K517" s="38"/>
    </row>
    <row r="518">
      <c r="B518" s="37"/>
      <c r="C518" s="37"/>
      <c r="D518" s="37"/>
      <c r="E518" s="38"/>
      <c r="F518" s="38"/>
      <c r="G518" s="38"/>
      <c r="H518" s="38"/>
      <c r="I518" s="38"/>
      <c r="J518" s="38"/>
      <c r="K518" s="38"/>
    </row>
    <row r="519">
      <c r="B519" s="37"/>
      <c r="C519" s="37"/>
      <c r="D519" s="37"/>
      <c r="E519" s="38"/>
      <c r="F519" s="38"/>
      <c r="G519" s="38"/>
      <c r="H519" s="38"/>
      <c r="I519" s="38"/>
      <c r="J519" s="38"/>
      <c r="K519" s="38"/>
    </row>
    <row r="520">
      <c r="B520" s="37"/>
      <c r="C520" s="37"/>
      <c r="D520" s="37"/>
      <c r="E520" s="38"/>
      <c r="F520" s="38"/>
      <c r="G520" s="38"/>
      <c r="H520" s="38"/>
      <c r="I520" s="38"/>
      <c r="J520" s="38"/>
      <c r="K520" s="38"/>
    </row>
    <row r="521">
      <c r="B521" s="37"/>
      <c r="C521" s="37"/>
      <c r="D521" s="37"/>
      <c r="E521" s="38"/>
      <c r="F521" s="38"/>
      <c r="G521" s="38"/>
      <c r="H521" s="38"/>
      <c r="I521" s="38"/>
      <c r="J521" s="38"/>
      <c r="K521" s="38"/>
    </row>
    <row r="522">
      <c r="B522" s="37"/>
      <c r="C522" s="37"/>
      <c r="D522" s="37"/>
      <c r="E522" s="38"/>
      <c r="F522" s="38"/>
      <c r="G522" s="38"/>
      <c r="H522" s="38"/>
      <c r="I522" s="38"/>
      <c r="J522" s="38"/>
      <c r="K522" s="38"/>
    </row>
    <row r="523">
      <c r="B523" s="37"/>
      <c r="C523" s="37"/>
      <c r="D523" s="37"/>
      <c r="E523" s="38"/>
      <c r="F523" s="38"/>
      <c r="G523" s="38"/>
      <c r="H523" s="38"/>
      <c r="I523" s="38"/>
      <c r="J523" s="38"/>
      <c r="K523" s="38"/>
    </row>
    <row r="524">
      <c r="B524" s="37"/>
      <c r="C524" s="37"/>
      <c r="D524" s="37"/>
      <c r="E524" s="38"/>
      <c r="F524" s="38"/>
      <c r="G524" s="38"/>
      <c r="H524" s="38"/>
      <c r="I524" s="38"/>
      <c r="J524" s="38"/>
      <c r="K524" s="38"/>
    </row>
    <row r="525">
      <c r="B525" s="37"/>
      <c r="C525" s="37"/>
      <c r="D525" s="37"/>
      <c r="E525" s="38"/>
      <c r="F525" s="38"/>
      <c r="G525" s="38"/>
      <c r="H525" s="38"/>
      <c r="I525" s="38"/>
      <c r="J525" s="38"/>
      <c r="K525" s="38"/>
    </row>
    <row r="526">
      <c r="B526" s="37"/>
      <c r="C526" s="37"/>
      <c r="D526" s="37"/>
      <c r="E526" s="38"/>
      <c r="F526" s="38"/>
      <c r="G526" s="38"/>
      <c r="H526" s="38"/>
      <c r="I526" s="38"/>
      <c r="J526" s="38"/>
      <c r="K526" s="38"/>
    </row>
    <row r="527">
      <c r="B527" s="37"/>
      <c r="C527" s="37"/>
      <c r="D527" s="37"/>
      <c r="E527" s="38"/>
      <c r="F527" s="38"/>
      <c r="G527" s="38"/>
      <c r="H527" s="38"/>
      <c r="I527" s="38"/>
      <c r="J527" s="38"/>
      <c r="K527" s="38"/>
    </row>
    <row r="528">
      <c r="B528" s="37"/>
      <c r="C528" s="37"/>
      <c r="D528" s="37"/>
      <c r="E528" s="38"/>
      <c r="F528" s="38"/>
      <c r="G528" s="38"/>
      <c r="H528" s="38"/>
      <c r="I528" s="38"/>
      <c r="J528" s="38"/>
      <c r="K528" s="38"/>
    </row>
    <row r="529">
      <c r="B529" s="37"/>
      <c r="C529" s="37"/>
      <c r="D529" s="37"/>
      <c r="E529" s="38"/>
      <c r="F529" s="38"/>
      <c r="G529" s="38"/>
      <c r="H529" s="38"/>
      <c r="I529" s="38"/>
      <c r="J529" s="38"/>
      <c r="K529" s="38"/>
    </row>
    <row r="530">
      <c r="B530" s="37"/>
      <c r="C530" s="37"/>
      <c r="D530" s="37"/>
      <c r="E530" s="38"/>
      <c r="F530" s="38"/>
      <c r="G530" s="38"/>
      <c r="H530" s="38"/>
      <c r="I530" s="38"/>
      <c r="J530" s="38"/>
      <c r="K530" s="38"/>
    </row>
    <row r="531">
      <c r="B531" s="37"/>
      <c r="C531" s="37"/>
      <c r="D531" s="37"/>
      <c r="E531" s="38"/>
      <c r="F531" s="38"/>
      <c r="G531" s="38"/>
      <c r="H531" s="38"/>
      <c r="I531" s="38"/>
      <c r="J531" s="38"/>
      <c r="K531" s="38"/>
    </row>
    <row r="532">
      <c r="B532" s="37"/>
      <c r="C532" s="37"/>
      <c r="D532" s="37"/>
      <c r="E532" s="38"/>
      <c r="F532" s="38"/>
      <c r="G532" s="38"/>
      <c r="H532" s="38"/>
      <c r="I532" s="38"/>
      <c r="J532" s="38"/>
      <c r="K532" s="38"/>
    </row>
    <row r="533">
      <c r="B533" s="37"/>
      <c r="C533" s="37"/>
      <c r="D533" s="37"/>
      <c r="E533" s="38"/>
      <c r="F533" s="38"/>
      <c r="G533" s="38"/>
      <c r="H533" s="38"/>
      <c r="I533" s="38"/>
      <c r="J533" s="38"/>
      <c r="K533" s="38"/>
    </row>
    <row r="534">
      <c r="B534" s="37"/>
      <c r="C534" s="37"/>
      <c r="D534" s="37"/>
      <c r="E534" s="38"/>
      <c r="F534" s="38"/>
      <c r="G534" s="38"/>
      <c r="H534" s="38"/>
      <c r="I534" s="38"/>
      <c r="J534" s="38"/>
      <c r="K534" s="38"/>
    </row>
    <row r="535">
      <c r="B535" s="37"/>
      <c r="C535" s="37"/>
      <c r="D535" s="37"/>
      <c r="E535" s="38"/>
      <c r="F535" s="38"/>
      <c r="G535" s="38"/>
      <c r="H535" s="38"/>
      <c r="I535" s="38"/>
      <c r="J535" s="38"/>
      <c r="K535" s="38"/>
    </row>
    <row r="536">
      <c r="B536" s="37"/>
      <c r="C536" s="37"/>
      <c r="D536" s="37"/>
      <c r="E536" s="38"/>
      <c r="F536" s="38"/>
      <c r="G536" s="38"/>
      <c r="H536" s="38"/>
      <c r="I536" s="38"/>
      <c r="J536" s="38"/>
      <c r="K536" s="38"/>
    </row>
    <row r="537">
      <c r="B537" s="37"/>
      <c r="C537" s="37"/>
      <c r="D537" s="37"/>
      <c r="E537" s="38"/>
      <c r="F537" s="38"/>
      <c r="G537" s="38"/>
      <c r="H537" s="38"/>
      <c r="I537" s="38"/>
      <c r="J537" s="38"/>
      <c r="K537" s="38"/>
    </row>
    <row r="538">
      <c r="B538" s="37"/>
      <c r="C538" s="37"/>
      <c r="D538" s="37"/>
      <c r="E538" s="38"/>
      <c r="F538" s="38"/>
      <c r="G538" s="38"/>
      <c r="H538" s="38"/>
      <c r="I538" s="38"/>
      <c r="J538" s="38"/>
      <c r="K538" s="38"/>
    </row>
    <row r="539">
      <c r="B539" s="37"/>
      <c r="C539" s="37"/>
      <c r="D539" s="37"/>
      <c r="E539" s="38"/>
      <c r="F539" s="38"/>
      <c r="G539" s="38"/>
      <c r="H539" s="38"/>
      <c r="I539" s="38"/>
      <c r="J539" s="38"/>
      <c r="K539" s="38"/>
    </row>
    <row r="540">
      <c r="B540" s="37"/>
      <c r="C540" s="37"/>
      <c r="D540" s="37"/>
      <c r="E540" s="38"/>
      <c r="F540" s="38"/>
      <c r="G540" s="38"/>
      <c r="H540" s="38"/>
      <c r="I540" s="38"/>
      <c r="J540" s="38"/>
      <c r="K540" s="38"/>
    </row>
    <row r="541">
      <c r="B541" s="37"/>
      <c r="C541" s="37"/>
      <c r="D541" s="37"/>
      <c r="E541" s="38"/>
      <c r="F541" s="38"/>
      <c r="G541" s="38"/>
      <c r="H541" s="38"/>
      <c r="I541" s="38"/>
      <c r="J541" s="38"/>
      <c r="K541" s="38"/>
    </row>
    <row r="542">
      <c r="B542" s="37"/>
      <c r="C542" s="37"/>
      <c r="D542" s="37"/>
      <c r="E542" s="38"/>
      <c r="F542" s="38"/>
      <c r="G542" s="38"/>
      <c r="H542" s="38"/>
      <c r="I542" s="38"/>
      <c r="J542" s="38"/>
      <c r="K542" s="38"/>
    </row>
    <row r="543">
      <c r="B543" s="37"/>
      <c r="C543" s="37"/>
      <c r="D543" s="37"/>
      <c r="E543" s="38"/>
      <c r="F543" s="38"/>
      <c r="G543" s="38"/>
      <c r="H543" s="38"/>
      <c r="I543" s="38"/>
      <c r="J543" s="38"/>
      <c r="K543" s="38"/>
    </row>
    <row r="544">
      <c r="B544" s="37"/>
      <c r="C544" s="37"/>
      <c r="D544" s="37"/>
      <c r="E544" s="38"/>
      <c r="F544" s="38"/>
      <c r="G544" s="38"/>
      <c r="H544" s="38"/>
      <c r="I544" s="38"/>
      <c r="J544" s="38"/>
      <c r="K544" s="38"/>
    </row>
    <row r="545">
      <c r="B545" s="37"/>
      <c r="C545" s="37"/>
      <c r="D545" s="37"/>
      <c r="E545" s="38"/>
      <c r="F545" s="38"/>
      <c r="G545" s="38"/>
      <c r="H545" s="38"/>
      <c r="I545" s="38"/>
      <c r="J545" s="38"/>
      <c r="K545" s="38"/>
    </row>
    <row r="546">
      <c r="B546" s="37"/>
      <c r="C546" s="37"/>
      <c r="D546" s="37"/>
      <c r="E546" s="38"/>
      <c r="F546" s="38"/>
      <c r="G546" s="38"/>
      <c r="H546" s="38"/>
      <c r="I546" s="38"/>
      <c r="J546" s="38"/>
      <c r="K546" s="38"/>
    </row>
    <row r="547">
      <c r="B547" s="37"/>
      <c r="C547" s="37"/>
      <c r="D547" s="37"/>
      <c r="E547" s="38"/>
      <c r="F547" s="38"/>
      <c r="G547" s="38"/>
      <c r="H547" s="38"/>
      <c r="I547" s="38"/>
      <c r="J547" s="38"/>
      <c r="K547" s="38"/>
    </row>
    <row r="548">
      <c r="B548" s="37"/>
      <c r="C548" s="37"/>
      <c r="D548" s="37"/>
      <c r="E548" s="38"/>
      <c r="F548" s="38"/>
      <c r="G548" s="38"/>
      <c r="H548" s="38"/>
      <c r="I548" s="38"/>
      <c r="J548" s="38"/>
      <c r="K548" s="38"/>
    </row>
    <row r="549">
      <c r="B549" s="37"/>
      <c r="C549" s="37"/>
      <c r="D549" s="37"/>
      <c r="E549" s="38"/>
      <c r="F549" s="38"/>
      <c r="G549" s="38"/>
      <c r="H549" s="38"/>
      <c r="I549" s="38"/>
      <c r="J549" s="38"/>
      <c r="K549" s="38"/>
    </row>
    <row r="550">
      <c r="B550" s="37"/>
      <c r="C550" s="37"/>
      <c r="D550" s="37"/>
      <c r="E550" s="38"/>
      <c r="F550" s="38"/>
      <c r="G550" s="38"/>
      <c r="H550" s="38"/>
      <c r="I550" s="38"/>
      <c r="J550" s="38"/>
      <c r="K550" s="38"/>
    </row>
    <row r="551">
      <c r="B551" s="37"/>
      <c r="C551" s="37"/>
      <c r="D551" s="37"/>
      <c r="E551" s="38"/>
      <c r="F551" s="38"/>
      <c r="G551" s="38"/>
      <c r="H551" s="38"/>
      <c r="I551" s="38"/>
      <c r="J551" s="38"/>
      <c r="K551" s="38"/>
    </row>
    <row r="552">
      <c r="B552" s="37"/>
      <c r="C552" s="37"/>
      <c r="D552" s="37"/>
      <c r="E552" s="38"/>
      <c r="F552" s="38"/>
      <c r="G552" s="38"/>
      <c r="H552" s="38"/>
      <c r="I552" s="38"/>
      <c r="J552" s="38"/>
      <c r="K552" s="38"/>
    </row>
    <row r="553">
      <c r="B553" s="37"/>
      <c r="C553" s="37"/>
      <c r="D553" s="37"/>
      <c r="E553" s="38"/>
      <c r="F553" s="38"/>
      <c r="G553" s="38"/>
      <c r="H553" s="38"/>
      <c r="I553" s="38"/>
      <c r="J553" s="38"/>
      <c r="K553" s="38"/>
    </row>
    <row r="554">
      <c r="B554" s="37"/>
      <c r="C554" s="37"/>
      <c r="D554" s="37"/>
      <c r="E554" s="38"/>
      <c r="F554" s="38"/>
      <c r="G554" s="38"/>
      <c r="H554" s="38"/>
      <c r="I554" s="38"/>
      <c r="J554" s="38"/>
      <c r="K554" s="38"/>
    </row>
    <row r="555">
      <c r="B555" s="37"/>
      <c r="C555" s="37"/>
      <c r="D555" s="37"/>
      <c r="E555" s="38"/>
      <c r="F555" s="38"/>
      <c r="G555" s="38"/>
      <c r="H555" s="38"/>
      <c r="I555" s="38"/>
      <c r="J555" s="38"/>
      <c r="K555" s="38"/>
    </row>
    <row r="556">
      <c r="B556" s="37"/>
      <c r="C556" s="37"/>
      <c r="D556" s="37"/>
      <c r="E556" s="38"/>
      <c r="F556" s="38"/>
      <c r="G556" s="38"/>
      <c r="H556" s="38"/>
      <c r="I556" s="38"/>
      <c r="J556" s="38"/>
      <c r="K556" s="38"/>
    </row>
    <row r="557">
      <c r="B557" s="37"/>
      <c r="C557" s="37"/>
      <c r="D557" s="37"/>
      <c r="E557" s="38"/>
      <c r="F557" s="38"/>
      <c r="G557" s="38"/>
      <c r="H557" s="38"/>
      <c r="I557" s="38"/>
      <c r="J557" s="38"/>
      <c r="K557" s="38"/>
    </row>
    <row r="558">
      <c r="B558" s="37"/>
      <c r="C558" s="37"/>
      <c r="D558" s="37"/>
      <c r="E558" s="38"/>
      <c r="F558" s="38"/>
      <c r="G558" s="38"/>
      <c r="H558" s="38"/>
      <c r="I558" s="38"/>
      <c r="J558" s="38"/>
      <c r="K558" s="38"/>
    </row>
    <row r="559">
      <c r="B559" s="37"/>
      <c r="C559" s="37"/>
      <c r="D559" s="37"/>
      <c r="E559" s="38"/>
      <c r="F559" s="38"/>
      <c r="G559" s="38"/>
      <c r="H559" s="38"/>
      <c r="I559" s="38"/>
      <c r="J559" s="38"/>
      <c r="K559" s="38"/>
    </row>
    <row r="560">
      <c r="B560" s="37"/>
      <c r="C560" s="37"/>
      <c r="D560" s="37"/>
      <c r="E560" s="38"/>
      <c r="F560" s="38"/>
      <c r="G560" s="38"/>
      <c r="H560" s="38"/>
      <c r="I560" s="38"/>
      <c r="J560" s="38"/>
      <c r="K560" s="38"/>
    </row>
    <row r="561">
      <c r="B561" s="37"/>
      <c r="C561" s="37"/>
      <c r="D561" s="37"/>
      <c r="E561" s="38"/>
      <c r="F561" s="38"/>
      <c r="G561" s="38"/>
      <c r="H561" s="38"/>
      <c r="I561" s="38"/>
      <c r="J561" s="38"/>
      <c r="K561" s="38"/>
    </row>
    <row r="562">
      <c r="B562" s="37"/>
      <c r="C562" s="37"/>
      <c r="D562" s="37"/>
      <c r="E562" s="38"/>
      <c r="F562" s="38"/>
      <c r="G562" s="38"/>
      <c r="H562" s="38"/>
      <c r="I562" s="38"/>
      <c r="J562" s="38"/>
      <c r="K562" s="38"/>
    </row>
    <row r="563">
      <c r="B563" s="37"/>
      <c r="C563" s="37"/>
      <c r="D563" s="37"/>
      <c r="E563" s="38"/>
      <c r="F563" s="38"/>
      <c r="G563" s="38"/>
      <c r="H563" s="38"/>
      <c r="I563" s="38"/>
      <c r="J563" s="38"/>
      <c r="K563" s="38"/>
    </row>
    <row r="564">
      <c r="B564" s="37"/>
      <c r="C564" s="37"/>
      <c r="D564" s="37"/>
      <c r="E564" s="38"/>
      <c r="F564" s="38"/>
      <c r="G564" s="38"/>
      <c r="H564" s="38"/>
      <c r="I564" s="38"/>
      <c r="J564" s="38"/>
      <c r="K564" s="38"/>
    </row>
    <row r="565">
      <c r="B565" s="37"/>
      <c r="C565" s="37"/>
      <c r="D565" s="37"/>
      <c r="E565" s="38"/>
      <c r="F565" s="38"/>
      <c r="G565" s="38"/>
      <c r="H565" s="38"/>
      <c r="I565" s="38"/>
      <c r="J565" s="38"/>
      <c r="K565" s="38"/>
    </row>
    <row r="566">
      <c r="B566" s="37"/>
      <c r="C566" s="37"/>
      <c r="D566" s="37"/>
      <c r="E566" s="38"/>
      <c r="F566" s="38"/>
      <c r="G566" s="38"/>
      <c r="H566" s="38"/>
      <c r="I566" s="38"/>
      <c r="J566" s="38"/>
      <c r="K566" s="38"/>
    </row>
    <row r="567">
      <c r="B567" s="37"/>
      <c r="C567" s="37"/>
      <c r="D567" s="37"/>
      <c r="E567" s="38"/>
      <c r="F567" s="38"/>
      <c r="G567" s="38"/>
      <c r="H567" s="38"/>
      <c r="I567" s="38"/>
      <c r="J567" s="38"/>
      <c r="K567" s="38"/>
    </row>
    <row r="568">
      <c r="B568" s="37"/>
      <c r="C568" s="37"/>
      <c r="D568" s="37"/>
      <c r="E568" s="38"/>
      <c r="F568" s="38"/>
      <c r="G568" s="38"/>
      <c r="H568" s="38"/>
      <c r="I568" s="38"/>
      <c r="J568" s="38"/>
      <c r="K568" s="38"/>
    </row>
    <row r="569">
      <c r="B569" s="37"/>
      <c r="C569" s="37"/>
      <c r="D569" s="37"/>
      <c r="E569" s="38"/>
      <c r="F569" s="38"/>
      <c r="G569" s="38"/>
      <c r="H569" s="38"/>
      <c r="I569" s="38"/>
      <c r="J569" s="38"/>
      <c r="K569" s="38"/>
    </row>
    <row r="570">
      <c r="B570" s="37"/>
      <c r="C570" s="37"/>
      <c r="D570" s="37"/>
      <c r="E570" s="38"/>
      <c r="F570" s="38"/>
      <c r="G570" s="38"/>
      <c r="H570" s="38"/>
      <c r="I570" s="38"/>
      <c r="J570" s="38"/>
      <c r="K570" s="38"/>
    </row>
    <row r="571">
      <c r="B571" s="37"/>
      <c r="C571" s="37"/>
      <c r="D571" s="37"/>
      <c r="E571" s="38"/>
      <c r="F571" s="38"/>
      <c r="G571" s="38"/>
      <c r="H571" s="38"/>
      <c r="I571" s="38"/>
      <c r="J571" s="38"/>
      <c r="K571" s="38"/>
    </row>
    <row r="572">
      <c r="B572" s="37"/>
      <c r="C572" s="37"/>
      <c r="D572" s="37"/>
      <c r="E572" s="38"/>
      <c r="F572" s="38"/>
      <c r="G572" s="38"/>
      <c r="H572" s="38"/>
      <c r="I572" s="38"/>
      <c r="J572" s="38"/>
      <c r="K572" s="38"/>
    </row>
    <row r="573">
      <c r="B573" s="37"/>
      <c r="C573" s="37"/>
      <c r="D573" s="37"/>
      <c r="E573" s="38"/>
      <c r="F573" s="38"/>
      <c r="G573" s="38"/>
      <c r="H573" s="38"/>
      <c r="I573" s="38"/>
      <c r="J573" s="38"/>
      <c r="K573" s="38"/>
    </row>
    <row r="574">
      <c r="B574" s="37"/>
      <c r="C574" s="37"/>
      <c r="D574" s="37"/>
      <c r="E574" s="38"/>
      <c r="F574" s="38"/>
      <c r="G574" s="38"/>
      <c r="H574" s="38"/>
      <c r="I574" s="38"/>
      <c r="J574" s="38"/>
      <c r="K574" s="38"/>
    </row>
    <row r="575">
      <c r="B575" s="37"/>
      <c r="C575" s="37"/>
      <c r="D575" s="37"/>
      <c r="E575" s="38"/>
      <c r="F575" s="38"/>
      <c r="G575" s="38"/>
      <c r="H575" s="38"/>
      <c r="I575" s="38"/>
      <c r="J575" s="38"/>
      <c r="K575" s="38"/>
    </row>
    <row r="576">
      <c r="B576" s="37"/>
      <c r="C576" s="37"/>
      <c r="D576" s="37"/>
      <c r="E576" s="38"/>
      <c r="F576" s="38"/>
      <c r="G576" s="38"/>
      <c r="H576" s="38"/>
      <c r="I576" s="38"/>
      <c r="J576" s="38"/>
      <c r="K576" s="38"/>
    </row>
    <row r="577">
      <c r="B577" s="37"/>
      <c r="C577" s="37"/>
      <c r="D577" s="37"/>
      <c r="E577" s="38"/>
      <c r="F577" s="38"/>
      <c r="G577" s="38"/>
      <c r="H577" s="38"/>
      <c r="I577" s="38"/>
      <c r="J577" s="38"/>
      <c r="K577" s="38"/>
    </row>
    <row r="578">
      <c r="B578" s="37"/>
      <c r="C578" s="37"/>
      <c r="D578" s="37"/>
      <c r="E578" s="38"/>
      <c r="F578" s="38"/>
      <c r="G578" s="38"/>
      <c r="H578" s="38"/>
      <c r="I578" s="38"/>
      <c r="J578" s="38"/>
      <c r="K578" s="38"/>
    </row>
    <row r="579">
      <c r="B579" s="37"/>
      <c r="C579" s="37"/>
      <c r="D579" s="37"/>
      <c r="E579" s="38"/>
      <c r="F579" s="38"/>
      <c r="G579" s="38"/>
      <c r="H579" s="38"/>
      <c r="I579" s="38"/>
      <c r="J579" s="38"/>
      <c r="K579" s="38"/>
    </row>
    <row r="580">
      <c r="B580" s="37"/>
      <c r="C580" s="37"/>
      <c r="D580" s="37"/>
      <c r="E580" s="38"/>
      <c r="F580" s="38"/>
      <c r="G580" s="38"/>
      <c r="H580" s="38"/>
      <c r="I580" s="38"/>
      <c r="J580" s="38"/>
      <c r="K580" s="38"/>
    </row>
    <row r="581">
      <c r="B581" s="37"/>
      <c r="C581" s="37"/>
      <c r="D581" s="37"/>
      <c r="E581" s="38"/>
      <c r="F581" s="38"/>
      <c r="G581" s="38"/>
      <c r="H581" s="38"/>
      <c r="I581" s="38"/>
      <c r="J581" s="38"/>
      <c r="K581" s="38"/>
    </row>
    <row r="582">
      <c r="B582" s="37"/>
      <c r="C582" s="37"/>
      <c r="D582" s="37"/>
      <c r="E582" s="38"/>
      <c r="F582" s="38"/>
      <c r="G582" s="38"/>
      <c r="H582" s="38"/>
      <c r="I582" s="38"/>
      <c r="J582" s="38"/>
      <c r="K582" s="38"/>
    </row>
    <row r="583">
      <c r="B583" s="37"/>
      <c r="C583" s="37"/>
      <c r="D583" s="37"/>
      <c r="E583" s="38"/>
      <c r="F583" s="38"/>
      <c r="G583" s="38"/>
      <c r="H583" s="38"/>
      <c r="I583" s="38"/>
      <c r="J583" s="38"/>
      <c r="K583" s="38"/>
    </row>
    <row r="584">
      <c r="B584" s="37"/>
      <c r="C584" s="37"/>
      <c r="D584" s="37"/>
      <c r="E584" s="38"/>
      <c r="F584" s="38"/>
      <c r="G584" s="38"/>
      <c r="H584" s="38"/>
      <c r="I584" s="38"/>
      <c r="J584" s="38"/>
      <c r="K584" s="38"/>
    </row>
    <row r="585">
      <c r="B585" s="37"/>
      <c r="C585" s="37"/>
      <c r="D585" s="37"/>
      <c r="E585" s="38"/>
      <c r="F585" s="38"/>
      <c r="G585" s="38"/>
      <c r="H585" s="38"/>
      <c r="I585" s="38"/>
      <c r="J585" s="38"/>
      <c r="K585" s="38"/>
    </row>
    <row r="586">
      <c r="B586" s="37"/>
      <c r="C586" s="37"/>
      <c r="D586" s="37"/>
      <c r="E586" s="38"/>
      <c r="F586" s="38"/>
      <c r="G586" s="38"/>
      <c r="H586" s="38"/>
      <c r="I586" s="38"/>
      <c r="J586" s="38"/>
      <c r="K586" s="38"/>
    </row>
    <row r="587">
      <c r="B587" s="37"/>
      <c r="C587" s="37"/>
      <c r="D587" s="37"/>
      <c r="E587" s="38"/>
      <c r="F587" s="38"/>
      <c r="G587" s="38"/>
      <c r="H587" s="38"/>
      <c r="I587" s="38"/>
      <c r="J587" s="38"/>
      <c r="K587" s="38"/>
    </row>
    <row r="588">
      <c r="B588" s="37"/>
      <c r="C588" s="37"/>
      <c r="D588" s="37"/>
      <c r="E588" s="38"/>
      <c r="F588" s="38"/>
      <c r="G588" s="38"/>
      <c r="H588" s="38"/>
      <c r="I588" s="38"/>
      <c r="J588" s="38"/>
      <c r="K588" s="38"/>
    </row>
    <row r="589">
      <c r="B589" s="37"/>
      <c r="C589" s="37"/>
      <c r="D589" s="37"/>
      <c r="E589" s="38"/>
      <c r="F589" s="38"/>
      <c r="G589" s="38"/>
      <c r="H589" s="38"/>
      <c r="I589" s="38"/>
      <c r="J589" s="38"/>
      <c r="K589" s="38"/>
    </row>
    <row r="590">
      <c r="B590" s="37"/>
      <c r="C590" s="37"/>
      <c r="D590" s="37"/>
      <c r="E590" s="38"/>
      <c r="F590" s="38"/>
      <c r="G590" s="38"/>
      <c r="H590" s="38"/>
      <c r="I590" s="38"/>
      <c r="J590" s="38"/>
      <c r="K590" s="38"/>
    </row>
    <row r="591">
      <c r="B591" s="37"/>
      <c r="C591" s="37"/>
      <c r="D591" s="37"/>
      <c r="E591" s="38"/>
      <c r="F591" s="38"/>
      <c r="G591" s="38"/>
      <c r="H591" s="38"/>
      <c r="I591" s="38"/>
      <c r="J591" s="38"/>
      <c r="K591" s="38"/>
    </row>
    <row r="592">
      <c r="B592" s="37"/>
      <c r="C592" s="37"/>
      <c r="D592" s="37"/>
      <c r="E592" s="38"/>
      <c r="F592" s="38"/>
      <c r="G592" s="38"/>
      <c r="H592" s="38"/>
      <c r="I592" s="38"/>
      <c r="J592" s="38"/>
      <c r="K592" s="38"/>
    </row>
    <row r="593">
      <c r="B593" s="37"/>
      <c r="C593" s="37"/>
      <c r="D593" s="37"/>
      <c r="E593" s="38"/>
      <c r="F593" s="38"/>
      <c r="G593" s="38"/>
      <c r="H593" s="38"/>
      <c r="I593" s="38"/>
      <c r="J593" s="38"/>
      <c r="K593" s="38"/>
    </row>
    <row r="594">
      <c r="B594" s="37"/>
      <c r="C594" s="37"/>
      <c r="D594" s="37"/>
      <c r="E594" s="38"/>
      <c r="F594" s="38"/>
      <c r="G594" s="38"/>
      <c r="H594" s="38"/>
      <c r="I594" s="38"/>
      <c r="J594" s="38"/>
      <c r="K594" s="38"/>
    </row>
    <row r="595">
      <c r="B595" s="37"/>
      <c r="C595" s="37"/>
      <c r="D595" s="37"/>
      <c r="E595" s="38"/>
      <c r="F595" s="38"/>
      <c r="G595" s="38"/>
      <c r="H595" s="38"/>
      <c r="I595" s="38"/>
      <c r="J595" s="38"/>
      <c r="K595" s="38"/>
    </row>
    <row r="596">
      <c r="B596" s="37"/>
      <c r="C596" s="37"/>
      <c r="D596" s="37"/>
      <c r="E596" s="38"/>
      <c r="F596" s="38"/>
      <c r="G596" s="38"/>
      <c r="H596" s="38"/>
      <c r="I596" s="38"/>
      <c r="J596" s="38"/>
      <c r="K596" s="38"/>
    </row>
    <row r="597">
      <c r="B597" s="37"/>
      <c r="C597" s="37"/>
      <c r="D597" s="37"/>
      <c r="E597" s="38"/>
      <c r="F597" s="38"/>
      <c r="G597" s="38"/>
      <c r="H597" s="38"/>
      <c r="I597" s="38"/>
      <c r="J597" s="38"/>
      <c r="K597" s="38"/>
    </row>
    <row r="598">
      <c r="B598" s="37"/>
      <c r="C598" s="37"/>
      <c r="D598" s="37"/>
      <c r="E598" s="38"/>
      <c r="F598" s="38"/>
      <c r="G598" s="38"/>
      <c r="H598" s="38"/>
      <c r="I598" s="38"/>
      <c r="J598" s="38"/>
      <c r="K598" s="38"/>
    </row>
    <row r="599">
      <c r="B599" s="37"/>
      <c r="C599" s="37"/>
      <c r="D599" s="37"/>
      <c r="E599" s="38"/>
      <c r="F599" s="38"/>
      <c r="G599" s="38"/>
      <c r="H599" s="38"/>
      <c r="I599" s="38"/>
      <c r="J599" s="38"/>
      <c r="K599" s="38"/>
    </row>
    <row r="600">
      <c r="B600" s="37"/>
      <c r="C600" s="37"/>
      <c r="D600" s="37"/>
      <c r="E600" s="38"/>
      <c r="F600" s="38"/>
      <c r="G600" s="38"/>
      <c r="H600" s="38"/>
      <c r="I600" s="38"/>
      <c r="J600" s="38"/>
      <c r="K600" s="38"/>
    </row>
    <row r="601">
      <c r="B601" s="37"/>
      <c r="C601" s="37"/>
      <c r="D601" s="37"/>
      <c r="E601" s="38"/>
      <c r="F601" s="38"/>
      <c r="G601" s="38"/>
      <c r="H601" s="38"/>
      <c r="I601" s="38"/>
      <c r="J601" s="38"/>
      <c r="K601" s="38"/>
    </row>
    <row r="602">
      <c r="B602" s="37"/>
      <c r="C602" s="37"/>
      <c r="D602" s="37"/>
      <c r="E602" s="38"/>
      <c r="F602" s="38"/>
      <c r="G602" s="38"/>
      <c r="H602" s="38"/>
      <c r="I602" s="38"/>
      <c r="J602" s="38"/>
      <c r="K602" s="38"/>
    </row>
    <row r="603">
      <c r="B603" s="37"/>
      <c r="C603" s="37"/>
      <c r="D603" s="37"/>
      <c r="E603" s="38"/>
      <c r="F603" s="38"/>
      <c r="G603" s="38"/>
      <c r="H603" s="38"/>
      <c r="I603" s="38"/>
      <c r="J603" s="38"/>
      <c r="K603" s="38"/>
    </row>
    <row r="604">
      <c r="B604" s="37"/>
      <c r="C604" s="37"/>
      <c r="D604" s="37"/>
      <c r="E604" s="38"/>
      <c r="F604" s="38"/>
      <c r="G604" s="38"/>
      <c r="H604" s="38"/>
      <c r="I604" s="38"/>
      <c r="J604" s="38"/>
      <c r="K604" s="38"/>
    </row>
    <row r="605">
      <c r="B605" s="37"/>
      <c r="C605" s="37"/>
      <c r="D605" s="37"/>
      <c r="E605" s="38"/>
      <c r="F605" s="38"/>
      <c r="G605" s="38"/>
      <c r="H605" s="38"/>
      <c r="I605" s="38"/>
      <c r="J605" s="38"/>
      <c r="K605" s="38"/>
    </row>
    <row r="606">
      <c r="B606" s="37"/>
      <c r="C606" s="37"/>
      <c r="D606" s="37"/>
      <c r="E606" s="38"/>
      <c r="F606" s="38"/>
      <c r="G606" s="38"/>
      <c r="H606" s="38"/>
      <c r="I606" s="38"/>
      <c r="J606" s="38"/>
      <c r="K606" s="38"/>
    </row>
    <row r="607">
      <c r="B607" s="37"/>
      <c r="C607" s="37"/>
      <c r="D607" s="37"/>
      <c r="E607" s="38"/>
      <c r="F607" s="38"/>
      <c r="G607" s="38"/>
      <c r="H607" s="38"/>
      <c r="I607" s="38"/>
      <c r="J607" s="38"/>
      <c r="K607" s="38"/>
    </row>
    <row r="608">
      <c r="B608" s="37"/>
      <c r="C608" s="37"/>
      <c r="D608" s="37"/>
      <c r="E608" s="38"/>
      <c r="F608" s="38"/>
      <c r="G608" s="38"/>
      <c r="H608" s="38"/>
      <c r="I608" s="38"/>
      <c r="J608" s="38"/>
      <c r="K608" s="38"/>
    </row>
    <row r="609">
      <c r="B609" s="37"/>
      <c r="C609" s="37"/>
      <c r="D609" s="37"/>
      <c r="E609" s="38"/>
      <c r="F609" s="38"/>
      <c r="G609" s="38"/>
      <c r="H609" s="38"/>
      <c r="I609" s="38"/>
      <c r="J609" s="38"/>
      <c r="K609" s="38"/>
    </row>
    <row r="610">
      <c r="B610" s="37"/>
      <c r="C610" s="37"/>
      <c r="D610" s="37"/>
      <c r="E610" s="38"/>
      <c r="F610" s="38"/>
      <c r="G610" s="38"/>
      <c r="H610" s="38"/>
      <c r="I610" s="38"/>
      <c r="J610" s="38"/>
      <c r="K610" s="38"/>
    </row>
    <row r="611">
      <c r="B611" s="37"/>
      <c r="C611" s="37"/>
      <c r="D611" s="37"/>
      <c r="E611" s="38"/>
      <c r="F611" s="38"/>
      <c r="G611" s="38"/>
      <c r="H611" s="38"/>
      <c r="I611" s="38"/>
      <c r="J611" s="38"/>
      <c r="K611" s="38"/>
    </row>
    <row r="612">
      <c r="B612" s="37"/>
      <c r="C612" s="37"/>
      <c r="D612" s="37"/>
      <c r="E612" s="38"/>
      <c r="F612" s="38"/>
      <c r="G612" s="38"/>
      <c r="H612" s="38"/>
      <c r="I612" s="38"/>
      <c r="J612" s="38"/>
      <c r="K612" s="38"/>
    </row>
    <row r="613">
      <c r="B613" s="37"/>
      <c r="C613" s="37"/>
      <c r="D613" s="37"/>
      <c r="E613" s="38"/>
      <c r="F613" s="38"/>
      <c r="G613" s="38"/>
      <c r="H613" s="38"/>
      <c r="I613" s="38"/>
      <c r="J613" s="38"/>
      <c r="K613" s="38"/>
    </row>
    <row r="614">
      <c r="B614" s="37"/>
      <c r="C614" s="37"/>
      <c r="D614" s="37"/>
      <c r="E614" s="38"/>
      <c r="F614" s="38"/>
      <c r="G614" s="38"/>
      <c r="H614" s="38"/>
      <c r="I614" s="38"/>
      <c r="J614" s="38"/>
      <c r="K614" s="38"/>
    </row>
    <row r="615">
      <c r="B615" s="37"/>
      <c r="C615" s="37"/>
      <c r="D615" s="37"/>
      <c r="E615" s="38"/>
      <c r="F615" s="38"/>
      <c r="G615" s="38"/>
      <c r="H615" s="38"/>
      <c r="I615" s="38"/>
      <c r="J615" s="38"/>
      <c r="K615" s="38"/>
    </row>
    <row r="616">
      <c r="B616" s="37"/>
      <c r="C616" s="37"/>
      <c r="D616" s="37"/>
      <c r="E616" s="38"/>
      <c r="F616" s="38"/>
      <c r="G616" s="38"/>
      <c r="H616" s="38"/>
      <c r="I616" s="38"/>
      <c r="J616" s="38"/>
      <c r="K616" s="38"/>
    </row>
    <row r="617">
      <c r="B617" s="37"/>
      <c r="C617" s="37"/>
      <c r="D617" s="37"/>
      <c r="E617" s="38"/>
      <c r="F617" s="38"/>
      <c r="G617" s="38"/>
      <c r="H617" s="38"/>
      <c r="I617" s="38"/>
      <c r="J617" s="38"/>
      <c r="K617" s="38"/>
    </row>
    <row r="618">
      <c r="B618" s="37"/>
      <c r="C618" s="37"/>
      <c r="D618" s="37"/>
      <c r="E618" s="38"/>
      <c r="F618" s="38"/>
      <c r="G618" s="38"/>
      <c r="H618" s="38"/>
      <c r="I618" s="38"/>
      <c r="J618" s="38"/>
      <c r="K618" s="38"/>
    </row>
    <row r="619">
      <c r="B619" s="37"/>
      <c r="C619" s="37"/>
      <c r="D619" s="37"/>
      <c r="E619" s="38"/>
      <c r="F619" s="38"/>
      <c r="G619" s="38"/>
      <c r="H619" s="38"/>
      <c r="I619" s="38"/>
      <c r="J619" s="38"/>
      <c r="K619" s="38"/>
    </row>
    <row r="620">
      <c r="B620" s="37"/>
      <c r="C620" s="37"/>
      <c r="D620" s="37"/>
      <c r="E620" s="38"/>
      <c r="F620" s="38"/>
      <c r="G620" s="38"/>
      <c r="H620" s="38"/>
      <c r="I620" s="38"/>
      <c r="J620" s="38"/>
      <c r="K620" s="38"/>
    </row>
    <row r="621">
      <c r="B621" s="37"/>
      <c r="C621" s="37"/>
      <c r="D621" s="37"/>
      <c r="E621" s="38"/>
      <c r="F621" s="38"/>
      <c r="G621" s="38"/>
      <c r="H621" s="38"/>
      <c r="I621" s="38"/>
      <c r="J621" s="38"/>
      <c r="K621" s="38"/>
    </row>
    <row r="622">
      <c r="B622" s="37"/>
      <c r="C622" s="37"/>
      <c r="D622" s="37"/>
      <c r="E622" s="38"/>
      <c r="F622" s="38"/>
      <c r="G622" s="38"/>
      <c r="H622" s="38"/>
      <c r="I622" s="38"/>
      <c r="J622" s="38"/>
      <c r="K622" s="38"/>
    </row>
    <row r="623">
      <c r="B623" s="37"/>
      <c r="C623" s="37"/>
      <c r="D623" s="37"/>
      <c r="E623" s="38"/>
      <c r="F623" s="38"/>
      <c r="G623" s="38"/>
      <c r="H623" s="38"/>
      <c r="I623" s="38"/>
      <c r="J623" s="38"/>
      <c r="K623" s="38"/>
    </row>
    <row r="624">
      <c r="B624" s="37"/>
      <c r="C624" s="37"/>
      <c r="D624" s="37"/>
      <c r="E624" s="38"/>
      <c r="F624" s="38"/>
      <c r="G624" s="38"/>
      <c r="H624" s="38"/>
      <c r="I624" s="38"/>
      <c r="J624" s="38"/>
      <c r="K624" s="38"/>
    </row>
    <row r="625">
      <c r="B625" s="37"/>
      <c r="C625" s="37"/>
      <c r="D625" s="37"/>
      <c r="E625" s="38"/>
      <c r="F625" s="38"/>
      <c r="G625" s="38"/>
      <c r="H625" s="38"/>
      <c r="I625" s="38"/>
      <c r="J625" s="38"/>
      <c r="K625" s="38"/>
    </row>
    <row r="626">
      <c r="B626" s="37"/>
      <c r="C626" s="37"/>
      <c r="D626" s="37"/>
      <c r="E626" s="38"/>
      <c r="F626" s="38"/>
      <c r="G626" s="38"/>
      <c r="H626" s="38"/>
      <c r="I626" s="38"/>
      <c r="J626" s="38"/>
      <c r="K626" s="38"/>
    </row>
    <row r="627">
      <c r="B627" s="37"/>
      <c r="C627" s="37"/>
      <c r="D627" s="37"/>
      <c r="E627" s="38"/>
      <c r="F627" s="38"/>
      <c r="G627" s="38"/>
      <c r="H627" s="38"/>
      <c r="I627" s="38"/>
      <c r="J627" s="38"/>
      <c r="K627" s="38"/>
    </row>
    <row r="628">
      <c r="B628" s="37"/>
      <c r="C628" s="37"/>
      <c r="D628" s="37"/>
      <c r="E628" s="38"/>
      <c r="F628" s="38"/>
      <c r="G628" s="38"/>
      <c r="H628" s="38"/>
      <c r="I628" s="38"/>
      <c r="J628" s="38"/>
      <c r="K628" s="38"/>
    </row>
    <row r="629">
      <c r="B629" s="37"/>
      <c r="C629" s="37"/>
      <c r="D629" s="37"/>
      <c r="E629" s="38"/>
      <c r="F629" s="38"/>
      <c r="G629" s="38"/>
      <c r="H629" s="38"/>
      <c r="I629" s="38"/>
      <c r="J629" s="38"/>
      <c r="K629" s="38"/>
    </row>
    <row r="630">
      <c r="B630" s="37"/>
      <c r="C630" s="37"/>
      <c r="D630" s="37"/>
      <c r="E630" s="38"/>
      <c r="F630" s="38"/>
      <c r="G630" s="38"/>
      <c r="H630" s="38"/>
      <c r="I630" s="38"/>
      <c r="J630" s="38"/>
      <c r="K630" s="38"/>
    </row>
    <row r="631">
      <c r="B631" s="37"/>
      <c r="C631" s="37"/>
      <c r="D631" s="37"/>
      <c r="E631" s="38"/>
      <c r="F631" s="38"/>
      <c r="G631" s="38"/>
      <c r="H631" s="38"/>
      <c r="I631" s="38"/>
      <c r="J631" s="38"/>
      <c r="K631" s="38"/>
    </row>
    <row r="632">
      <c r="B632" s="37"/>
      <c r="C632" s="37"/>
      <c r="D632" s="37"/>
      <c r="E632" s="38"/>
      <c r="F632" s="38"/>
      <c r="G632" s="38"/>
      <c r="H632" s="38"/>
      <c r="I632" s="38"/>
      <c r="J632" s="38"/>
      <c r="K632" s="38"/>
    </row>
    <row r="633">
      <c r="B633" s="37"/>
      <c r="C633" s="37"/>
      <c r="D633" s="37"/>
      <c r="E633" s="38"/>
      <c r="F633" s="38"/>
      <c r="G633" s="38"/>
      <c r="H633" s="38"/>
      <c r="I633" s="38"/>
      <c r="J633" s="38"/>
      <c r="K633" s="38"/>
    </row>
    <row r="634">
      <c r="B634" s="37"/>
      <c r="C634" s="37"/>
      <c r="D634" s="37"/>
      <c r="E634" s="38"/>
      <c r="F634" s="38"/>
      <c r="G634" s="38"/>
      <c r="H634" s="38"/>
      <c r="I634" s="38"/>
      <c r="J634" s="38"/>
      <c r="K634" s="38"/>
    </row>
    <row r="635">
      <c r="B635" s="37"/>
      <c r="C635" s="37"/>
      <c r="D635" s="37"/>
      <c r="E635" s="38"/>
      <c r="F635" s="38"/>
      <c r="G635" s="38"/>
      <c r="H635" s="38"/>
      <c r="I635" s="38"/>
      <c r="J635" s="38"/>
      <c r="K635" s="38"/>
    </row>
    <row r="636">
      <c r="B636" s="37"/>
      <c r="C636" s="37"/>
      <c r="D636" s="37"/>
      <c r="E636" s="38"/>
      <c r="F636" s="38"/>
      <c r="G636" s="38"/>
      <c r="H636" s="38"/>
      <c r="I636" s="38"/>
      <c r="J636" s="38"/>
      <c r="K636" s="38"/>
    </row>
    <row r="637">
      <c r="B637" s="37"/>
      <c r="C637" s="37"/>
      <c r="D637" s="37"/>
      <c r="E637" s="38"/>
      <c r="F637" s="38"/>
      <c r="G637" s="38"/>
      <c r="H637" s="38"/>
      <c r="I637" s="38"/>
      <c r="J637" s="38"/>
      <c r="K637" s="38"/>
    </row>
    <row r="638">
      <c r="B638" s="37"/>
      <c r="C638" s="37"/>
      <c r="D638" s="37"/>
      <c r="E638" s="38"/>
      <c r="F638" s="38"/>
      <c r="G638" s="38"/>
      <c r="H638" s="38"/>
      <c r="I638" s="38"/>
      <c r="J638" s="38"/>
      <c r="K638" s="38"/>
    </row>
    <row r="639">
      <c r="B639" s="37"/>
      <c r="C639" s="37"/>
      <c r="D639" s="37"/>
      <c r="E639" s="38"/>
      <c r="F639" s="38"/>
      <c r="G639" s="38"/>
      <c r="H639" s="38"/>
      <c r="I639" s="38"/>
      <c r="J639" s="38"/>
      <c r="K639" s="38"/>
    </row>
    <row r="640">
      <c r="B640" s="37"/>
      <c r="C640" s="37"/>
      <c r="D640" s="37"/>
      <c r="E640" s="38"/>
      <c r="F640" s="38"/>
      <c r="G640" s="38"/>
      <c r="H640" s="38"/>
      <c r="I640" s="38"/>
      <c r="J640" s="38"/>
      <c r="K640" s="38"/>
    </row>
    <row r="641">
      <c r="B641" s="37"/>
      <c r="C641" s="37"/>
      <c r="D641" s="37"/>
      <c r="E641" s="38"/>
      <c r="F641" s="38"/>
      <c r="G641" s="38"/>
      <c r="H641" s="38"/>
      <c r="I641" s="38"/>
      <c r="J641" s="38"/>
      <c r="K641" s="38"/>
    </row>
    <row r="642">
      <c r="B642" s="37"/>
      <c r="C642" s="37"/>
      <c r="D642" s="37"/>
      <c r="E642" s="38"/>
      <c r="F642" s="38"/>
      <c r="G642" s="38"/>
      <c r="H642" s="38"/>
      <c r="I642" s="38"/>
      <c r="J642" s="38"/>
      <c r="K642" s="38"/>
    </row>
    <row r="643">
      <c r="B643" s="37"/>
      <c r="C643" s="37"/>
      <c r="D643" s="37"/>
      <c r="E643" s="38"/>
      <c r="F643" s="38"/>
      <c r="G643" s="38"/>
      <c r="H643" s="38"/>
      <c r="I643" s="38"/>
      <c r="J643" s="38"/>
      <c r="K643" s="38"/>
    </row>
    <row r="644">
      <c r="B644" s="37"/>
      <c r="C644" s="37"/>
      <c r="D644" s="37"/>
      <c r="E644" s="38"/>
      <c r="F644" s="38"/>
      <c r="G644" s="38"/>
      <c r="H644" s="38"/>
      <c r="I644" s="38"/>
      <c r="J644" s="38"/>
      <c r="K644" s="38"/>
    </row>
    <row r="645">
      <c r="B645" s="37"/>
      <c r="C645" s="37"/>
      <c r="D645" s="37"/>
      <c r="E645" s="38"/>
      <c r="F645" s="38"/>
      <c r="G645" s="38"/>
      <c r="H645" s="38"/>
      <c r="I645" s="38"/>
      <c r="J645" s="38"/>
      <c r="K645" s="38"/>
    </row>
    <row r="646">
      <c r="B646" s="37"/>
      <c r="C646" s="37"/>
      <c r="D646" s="37"/>
      <c r="E646" s="38"/>
      <c r="F646" s="38"/>
      <c r="G646" s="38"/>
      <c r="H646" s="38"/>
      <c r="I646" s="38"/>
      <c r="J646" s="38"/>
      <c r="K646" s="38"/>
    </row>
    <row r="647">
      <c r="B647" s="37"/>
      <c r="C647" s="37"/>
      <c r="D647" s="37"/>
      <c r="E647" s="38"/>
      <c r="F647" s="38"/>
      <c r="G647" s="38"/>
      <c r="H647" s="38"/>
      <c r="I647" s="38"/>
      <c r="J647" s="38"/>
      <c r="K647" s="38"/>
    </row>
    <row r="648">
      <c r="B648" s="37"/>
      <c r="C648" s="37"/>
      <c r="D648" s="37"/>
      <c r="E648" s="38"/>
      <c r="F648" s="38"/>
      <c r="G648" s="38"/>
      <c r="H648" s="38"/>
      <c r="I648" s="38"/>
      <c r="J648" s="38"/>
      <c r="K648" s="38"/>
    </row>
    <row r="649">
      <c r="B649" s="37"/>
      <c r="C649" s="37"/>
      <c r="D649" s="37"/>
      <c r="E649" s="38"/>
      <c r="F649" s="38"/>
      <c r="G649" s="38"/>
      <c r="H649" s="38"/>
      <c r="I649" s="38"/>
      <c r="J649" s="38"/>
      <c r="K649" s="38"/>
    </row>
    <row r="650">
      <c r="B650" s="37"/>
      <c r="C650" s="37"/>
      <c r="D650" s="37"/>
      <c r="E650" s="38"/>
      <c r="F650" s="38"/>
      <c r="G650" s="38"/>
      <c r="H650" s="38"/>
      <c r="I650" s="38"/>
      <c r="J650" s="38"/>
      <c r="K650" s="38"/>
    </row>
    <row r="651">
      <c r="B651" s="37"/>
      <c r="C651" s="37"/>
      <c r="D651" s="37"/>
      <c r="E651" s="38"/>
      <c r="F651" s="38"/>
      <c r="G651" s="38"/>
      <c r="H651" s="38"/>
      <c r="I651" s="38"/>
      <c r="J651" s="38"/>
      <c r="K651" s="38"/>
    </row>
    <row r="652">
      <c r="B652" s="37"/>
      <c r="C652" s="37"/>
      <c r="D652" s="37"/>
      <c r="E652" s="38"/>
      <c r="F652" s="38"/>
      <c r="G652" s="38"/>
      <c r="H652" s="38"/>
      <c r="I652" s="38"/>
      <c r="J652" s="38"/>
      <c r="K652" s="38"/>
    </row>
    <row r="653">
      <c r="B653" s="37"/>
      <c r="C653" s="37"/>
      <c r="D653" s="37"/>
      <c r="E653" s="38"/>
      <c r="F653" s="38"/>
      <c r="G653" s="38"/>
      <c r="H653" s="38"/>
      <c r="I653" s="38"/>
      <c r="J653" s="38"/>
      <c r="K653" s="38"/>
    </row>
    <row r="654">
      <c r="B654" s="37"/>
      <c r="C654" s="37"/>
      <c r="D654" s="37"/>
      <c r="E654" s="38"/>
      <c r="F654" s="38"/>
      <c r="G654" s="38"/>
      <c r="H654" s="38"/>
      <c r="I654" s="38"/>
      <c r="J654" s="38"/>
      <c r="K654" s="38"/>
    </row>
    <row r="655">
      <c r="B655" s="37"/>
      <c r="C655" s="37"/>
      <c r="D655" s="37"/>
      <c r="E655" s="38"/>
      <c r="F655" s="38"/>
      <c r="G655" s="38"/>
      <c r="H655" s="38"/>
      <c r="I655" s="38"/>
      <c r="J655" s="38"/>
      <c r="K655" s="38"/>
    </row>
    <row r="656">
      <c r="B656" s="37"/>
      <c r="C656" s="37"/>
      <c r="D656" s="37"/>
      <c r="E656" s="38"/>
      <c r="F656" s="38"/>
      <c r="G656" s="38"/>
      <c r="H656" s="38"/>
      <c r="I656" s="38"/>
      <c r="J656" s="38"/>
      <c r="K656" s="38"/>
    </row>
    <row r="657">
      <c r="B657" s="37"/>
      <c r="C657" s="37"/>
      <c r="D657" s="37"/>
      <c r="E657" s="38"/>
      <c r="F657" s="38"/>
      <c r="G657" s="38"/>
      <c r="H657" s="38"/>
      <c r="I657" s="38"/>
      <c r="J657" s="38"/>
      <c r="K657" s="38"/>
    </row>
    <row r="658">
      <c r="B658" s="37"/>
      <c r="C658" s="37"/>
      <c r="D658" s="37"/>
      <c r="E658" s="38"/>
      <c r="F658" s="38"/>
      <c r="G658" s="38"/>
      <c r="H658" s="38"/>
      <c r="I658" s="38"/>
      <c r="J658" s="38"/>
      <c r="K658" s="38"/>
    </row>
    <row r="659">
      <c r="B659" s="37"/>
      <c r="C659" s="37"/>
      <c r="D659" s="37"/>
      <c r="E659" s="38"/>
      <c r="F659" s="38"/>
      <c r="G659" s="38"/>
      <c r="H659" s="38"/>
      <c r="I659" s="38"/>
      <c r="J659" s="38"/>
      <c r="K659" s="38"/>
    </row>
    <row r="660">
      <c r="B660" s="37"/>
      <c r="C660" s="37"/>
      <c r="D660" s="37"/>
      <c r="E660" s="38"/>
      <c r="F660" s="38"/>
      <c r="G660" s="38"/>
      <c r="H660" s="38"/>
      <c r="I660" s="38"/>
      <c r="J660" s="38"/>
      <c r="K660" s="38"/>
    </row>
    <row r="661">
      <c r="B661" s="37"/>
      <c r="C661" s="37"/>
      <c r="D661" s="37"/>
      <c r="E661" s="38"/>
      <c r="F661" s="38"/>
      <c r="G661" s="38"/>
      <c r="H661" s="38"/>
      <c r="I661" s="38"/>
      <c r="J661" s="38"/>
      <c r="K661" s="38"/>
    </row>
    <row r="662">
      <c r="B662" s="37"/>
      <c r="C662" s="37"/>
      <c r="D662" s="37"/>
      <c r="E662" s="38"/>
      <c r="F662" s="38"/>
      <c r="G662" s="38"/>
      <c r="H662" s="38"/>
      <c r="I662" s="38"/>
      <c r="J662" s="38"/>
      <c r="K662" s="38"/>
    </row>
    <row r="663">
      <c r="B663" s="37"/>
      <c r="C663" s="37"/>
      <c r="D663" s="37"/>
      <c r="E663" s="38"/>
      <c r="F663" s="38"/>
      <c r="G663" s="38"/>
      <c r="H663" s="38"/>
      <c r="I663" s="38"/>
      <c r="J663" s="38"/>
      <c r="K663" s="38"/>
    </row>
    <row r="664">
      <c r="B664" s="37"/>
      <c r="C664" s="37"/>
      <c r="D664" s="37"/>
      <c r="E664" s="38"/>
      <c r="F664" s="38"/>
      <c r="G664" s="38"/>
      <c r="H664" s="38"/>
      <c r="I664" s="38"/>
      <c r="J664" s="38"/>
      <c r="K664" s="38"/>
    </row>
    <row r="665">
      <c r="B665" s="37"/>
      <c r="C665" s="37"/>
      <c r="D665" s="37"/>
      <c r="E665" s="38"/>
      <c r="F665" s="38"/>
      <c r="G665" s="38"/>
      <c r="H665" s="38"/>
      <c r="I665" s="38"/>
      <c r="J665" s="38"/>
      <c r="K665" s="38"/>
    </row>
    <row r="666">
      <c r="B666" s="37"/>
      <c r="C666" s="37"/>
      <c r="D666" s="37"/>
      <c r="E666" s="38"/>
      <c r="F666" s="38"/>
      <c r="G666" s="38"/>
      <c r="H666" s="38"/>
      <c r="I666" s="38"/>
      <c r="J666" s="38"/>
      <c r="K666" s="38"/>
    </row>
    <row r="667">
      <c r="B667" s="37"/>
      <c r="C667" s="37"/>
      <c r="D667" s="37"/>
      <c r="E667" s="38"/>
      <c r="F667" s="38"/>
      <c r="G667" s="38"/>
      <c r="H667" s="38"/>
      <c r="I667" s="38"/>
      <c r="J667" s="38"/>
      <c r="K667" s="38"/>
    </row>
    <row r="668">
      <c r="B668" s="37"/>
      <c r="C668" s="37"/>
      <c r="D668" s="37"/>
      <c r="E668" s="38"/>
      <c r="F668" s="38"/>
      <c r="G668" s="38"/>
      <c r="H668" s="38"/>
      <c r="I668" s="38"/>
      <c r="J668" s="38"/>
      <c r="K668" s="38"/>
    </row>
    <row r="669">
      <c r="B669" s="37"/>
      <c r="C669" s="37"/>
      <c r="D669" s="37"/>
      <c r="E669" s="38"/>
      <c r="F669" s="38"/>
      <c r="G669" s="38"/>
      <c r="H669" s="38"/>
      <c r="I669" s="38"/>
      <c r="J669" s="38"/>
      <c r="K669" s="38"/>
    </row>
    <row r="670">
      <c r="B670" s="37"/>
      <c r="C670" s="37"/>
      <c r="D670" s="37"/>
      <c r="E670" s="38"/>
      <c r="F670" s="38"/>
      <c r="G670" s="38"/>
      <c r="H670" s="38"/>
      <c r="I670" s="38"/>
      <c r="J670" s="38"/>
      <c r="K670" s="38"/>
    </row>
    <row r="671">
      <c r="B671" s="37"/>
      <c r="C671" s="37"/>
      <c r="D671" s="37"/>
      <c r="E671" s="38"/>
      <c r="F671" s="38"/>
      <c r="G671" s="38"/>
      <c r="H671" s="38"/>
      <c r="I671" s="38"/>
      <c r="J671" s="38"/>
      <c r="K671" s="38"/>
    </row>
    <row r="672">
      <c r="B672" s="37"/>
      <c r="C672" s="37"/>
      <c r="D672" s="37"/>
      <c r="E672" s="38"/>
      <c r="F672" s="38"/>
      <c r="G672" s="38"/>
      <c r="H672" s="38"/>
      <c r="I672" s="38"/>
      <c r="J672" s="38"/>
      <c r="K672" s="38"/>
    </row>
    <row r="673">
      <c r="B673" s="37"/>
      <c r="C673" s="37"/>
      <c r="D673" s="37"/>
      <c r="E673" s="38"/>
      <c r="F673" s="38"/>
      <c r="G673" s="38"/>
      <c r="H673" s="38"/>
      <c r="I673" s="38"/>
      <c r="J673" s="38"/>
      <c r="K673" s="38"/>
    </row>
    <row r="674">
      <c r="B674" s="37"/>
      <c r="C674" s="37"/>
      <c r="D674" s="37"/>
      <c r="E674" s="38"/>
      <c r="F674" s="38"/>
      <c r="G674" s="38"/>
      <c r="H674" s="38"/>
      <c r="I674" s="38"/>
      <c r="J674" s="38"/>
      <c r="K674" s="38"/>
    </row>
    <row r="675">
      <c r="B675" s="37"/>
      <c r="C675" s="37"/>
      <c r="D675" s="37"/>
      <c r="E675" s="38"/>
      <c r="F675" s="38"/>
      <c r="G675" s="38"/>
      <c r="H675" s="38"/>
      <c r="I675" s="38"/>
      <c r="J675" s="38"/>
      <c r="K675" s="38"/>
    </row>
    <row r="676">
      <c r="B676" s="37"/>
      <c r="C676" s="37"/>
      <c r="D676" s="37"/>
      <c r="E676" s="38"/>
      <c r="F676" s="38"/>
      <c r="G676" s="38"/>
      <c r="H676" s="38"/>
      <c r="I676" s="38"/>
      <c r="J676" s="38"/>
      <c r="K676" s="38"/>
    </row>
    <row r="677">
      <c r="B677" s="37"/>
      <c r="C677" s="37"/>
      <c r="D677" s="37"/>
      <c r="E677" s="38"/>
      <c r="F677" s="38"/>
      <c r="G677" s="38"/>
      <c r="H677" s="38"/>
      <c r="I677" s="38"/>
      <c r="J677" s="38"/>
      <c r="K677" s="38"/>
    </row>
    <row r="678">
      <c r="B678" s="37"/>
      <c r="C678" s="37"/>
      <c r="D678" s="37"/>
      <c r="E678" s="38"/>
      <c r="F678" s="38"/>
      <c r="G678" s="38"/>
      <c r="H678" s="38"/>
      <c r="I678" s="38"/>
      <c r="J678" s="38"/>
      <c r="K678" s="38"/>
    </row>
    <row r="679">
      <c r="B679" s="37"/>
      <c r="C679" s="37"/>
      <c r="D679" s="37"/>
      <c r="E679" s="38"/>
      <c r="F679" s="38"/>
      <c r="G679" s="38"/>
      <c r="H679" s="38"/>
      <c r="I679" s="38"/>
      <c r="J679" s="38"/>
      <c r="K679" s="38"/>
    </row>
    <row r="680">
      <c r="B680" s="37"/>
      <c r="C680" s="37"/>
      <c r="D680" s="37"/>
      <c r="E680" s="38"/>
      <c r="F680" s="38"/>
      <c r="G680" s="38"/>
      <c r="H680" s="38"/>
      <c r="I680" s="38"/>
      <c r="J680" s="38"/>
      <c r="K680" s="38"/>
    </row>
    <row r="681">
      <c r="B681" s="37"/>
      <c r="C681" s="37"/>
      <c r="D681" s="37"/>
      <c r="E681" s="38"/>
      <c r="F681" s="38"/>
      <c r="G681" s="38"/>
      <c r="H681" s="38"/>
      <c r="I681" s="38"/>
      <c r="J681" s="38"/>
      <c r="K681" s="38"/>
    </row>
    <row r="682">
      <c r="B682" s="37"/>
      <c r="C682" s="37"/>
      <c r="D682" s="37"/>
      <c r="E682" s="38"/>
      <c r="F682" s="38"/>
      <c r="G682" s="38"/>
      <c r="H682" s="38"/>
      <c r="I682" s="38"/>
      <c r="J682" s="38"/>
      <c r="K682" s="38"/>
    </row>
    <row r="683">
      <c r="B683" s="37"/>
      <c r="C683" s="37"/>
      <c r="D683" s="37"/>
      <c r="E683" s="38"/>
      <c r="F683" s="38"/>
      <c r="G683" s="38"/>
      <c r="H683" s="38"/>
      <c r="I683" s="38"/>
      <c r="J683" s="38"/>
      <c r="K683" s="38"/>
    </row>
    <row r="684">
      <c r="B684" s="37"/>
      <c r="C684" s="37"/>
      <c r="D684" s="37"/>
      <c r="E684" s="38"/>
      <c r="F684" s="38"/>
      <c r="G684" s="38"/>
      <c r="H684" s="38"/>
      <c r="I684" s="38"/>
      <c r="J684" s="38"/>
      <c r="K684" s="38"/>
    </row>
    <row r="685">
      <c r="B685" s="37"/>
      <c r="C685" s="37"/>
      <c r="D685" s="37"/>
      <c r="E685" s="38"/>
      <c r="F685" s="38"/>
      <c r="G685" s="38"/>
      <c r="H685" s="38"/>
      <c r="I685" s="38"/>
      <c r="J685" s="38"/>
      <c r="K685" s="38"/>
    </row>
    <row r="686">
      <c r="B686" s="37"/>
      <c r="C686" s="37"/>
      <c r="D686" s="37"/>
      <c r="E686" s="38"/>
      <c r="F686" s="38"/>
      <c r="G686" s="38"/>
      <c r="H686" s="38"/>
      <c r="I686" s="38"/>
      <c r="J686" s="38"/>
      <c r="K686" s="38"/>
    </row>
    <row r="687">
      <c r="B687" s="37"/>
      <c r="C687" s="37"/>
      <c r="D687" s="37"/>
      <c r="E687" s="38"/>
      <c r="F687" s="38"/>
      <c r="G687" s="38"/>
      <c r="H687" s="38"/>
      <c r="I687" s="38"/>
      <c r="J687" s="38"/>
      <c r="K687" s="38"/>
    </row>
    <row r="688">
      <c r="B688" s="37"/>
      <c r="C688" s="37"/>
      <c r="D688" s="37"/>
      <c r="E688" s="38"/>
      <c r="F688" s="38"/>
      <c r="G688" s="38"/>
      <c r="H688" s="38"/>
      <c r="I688" s="38"/>
      <c r="J688" s="38"/>
      <c r="K688" s="38"/>
    </row>
    <row r="689">
      <c r="B689" s="37"/>
      <c r="C689" s="37"/>
      <c r="D689" s="37"/>
      <c r="E689" s="38"/>
      <c r="F689" s="38"/>
      <c r="G689" s="38"/>
      <c r="H689" s="38"/>
      <c r="I689" s="38"/>
      <c r="J689" s="38"/>
      <c r="K689" s="38"/>
    </row>
    <row r="690">
      <c r="B690" s="37"/>
      <c r="C690" s="37"/>
      <c r="D690" s="37"/>
      <c r="E690" s="38"/>
      <c r="F690" s="38"/>
      <c r="G690" s="38"/>
      <c r="H690" s="38"/>
      <c r="I690" s="38"/>
      <c r="J690" s="38"/>
      <c r="K690" s="38"/>
    </row>
    <row r="691">
      <c r="B691" s="37"/>
      <c r="C691" s="37"/>
      <c r="D691" s="37"/>
      <c r="E691" s="38"/>
      <c r="F691" s="38"/>
      <c r="G691" s="38"/>
      <c r="H691" s="38"/>
      <c r="I691" s="38"/>
      <c r="J691" s="38"/>
      <c r="K691" s="38"/>
    </row>
    <row r="692">
      <c r="B692" s="37"/>
      <c r="C692" s="37"/>
      <c r="D692" s="37"/>
      <c r="E692" s="38"/>
      <c r="F692" s="38"/>
      <c r="G692" s="38"/>
      <c r="H692" s="38"/>
      <c r="I692" s="38"/>
      <c r="J692" s="38"/>
      <c r="K692" s="38"/>
    </row>
    <row r="693">
      <c r="B693" s="37"/>
      <c r="C693" s="37"/>
      <c r="D693" s="37"/>
      <c r="E693" s="38"/>
      <c r="F693" s="38"/>
      <c r="G693" s="38"/>
      <c r="H693" s="38"/>
      <c r="I693" s="38"/>
      <c r="J693" s="38"/>
      <c r="K693" s="38"/>
    </row>
    <row r="694">
      <c r="B694" s="37"/>
      <c r="C694" s="37"/>
      <c r="D694" s="37"/>
      <c r="E694" s="38"/>
      <c r="F694" s="38"/>
      <c r="G694" s="38"/>
      <c r="H694" s="38"/>
      <c r="I694" s="38"/>
      <c r="J694" s="38"/>
      <c r="K694" s="38"/>
    </row>
    <row r="695">
      <c r="B695" s="37"/>
      <c r="C695" s="37"/>
      <c r="D695" s="37"/>
      <c r="E695" s="38"/>
      <c r="F695" s="38"/>
      <c r="G695" s="38"/>
      <c r="H695" s="38"/>
      <c r="I695" s="38"/>
      <c r="J695" s="38"/>
      <c r="K695" s="38"/>
    </row>
    <row r="696">
      <c r="B696" s="37"/>
      <c r="C696" s="37"/>
      <c r="D696" s="37"/>
      <c r="E696" s="38"/>
      <c r="F696" s="38"/>
      <c r="G696" s="38"/>
      <c r="H696" s="38"/>
      <c r="I696" s="38"/>
      <c r="J696" s="38"/>
      <c r="K696" s="38"/>
    </row>
    <row r="697">
      <c r="B697" s="37"/>
      <c r="C697" s="37"/>
      <c r="D697" s="37"/>
      <c r="E697" s="38"/>
      <c r="F697" s="38"/>
      <c r="G697" s="38"/>
      <c r="H697" s="38"/>
      <c r="I697" s="38"/>
      <c r="J697" s="38"/>
      <c r="K697" s="38"/>
    </row>
    <row r="698">
      <c r="B698" s="37"/>
      <c r="C698" s="37"/>
      <c r="D698" s="37"/>
      <c r="E698" s="38"/>
      <c r="F698" s="38"/>
      <c r="G698" s="38"/>
      <c r="H698" s="38"/>
      <c r="I698" s="38"/>
      <c r="J698" s="38"/>
      <c r="K698" s="38"/>
    </row>
    <row r="699">
      <c r="B699" s="37"/>
      <c r="C699" s="37"/>
      <c r="D699" s="37"/>
      <c r="E699" s="38"/>
      <c r="F699" s="38"/>
      <c r="G699" s="38"/>
      <c r="H699" s="38"/>
      <c r="I699" s="38"/>
      <c r="J699" s="38"/>
      <c r="K699" s="38"/>
    </row>
    <row r="700">
      <c r="B700" s="37"/>
      <c r="C700" s="37"/>
      <c r="D700" s="37"/>
      <c r="E700" s="38"/>
      <c r="F700" s="38"/>
      <c r="G700" s="38"/>
      <c r="H700" s="38"/>
      <c r="I700" s="38"/>
      <c r="J700" s="38"/>
      <c r="K700" s="38"/>
    </row>
    <row r="701">
      <c r="B701" s="37"/>
      <c r="C701" s="37"/>
      <c r="D701" s="37"/>
      <c r="E701" s="38"/>
      <c r="F701" s="38"/>
      <c r="G701" s="38"/>
      <c r="H701" s="38"/>
      <c r="I701" s="38"/>
      <c r="J701" s="38"/>
      <c r="K701" s="38"/>
    </row>
    <row r="702">
      <c r="B702" s="37"/>
      <c r="C702" s="37"/>
      <c r="D702" s="37"/>
      <c r="E702" s="38"/>
      <c r="F702" s="38"/>
      <c r="G702" s="38"/>
      <c r="H702" s="38"/>
      <c r="I702" s="38"/>
      <c r="J702" s="38"/>
      <c r="K702" s="38"/>
    </row>
    <row r="703">
      <c r="B703" s="37"/>
      <c r="C703" s="37"/>
      <c r="D703" s="37"/>
      <c r="E703" s="38"/>
      <c r="F703" s="38"/>
      <c r="G703" s="38"/>
      <c r="H703" s="38"/>
      <c r="I703" s="38"/>
      <c r="J703" s="38"/>
      <c r="K703" s="38"/>
    </row>
    <row r="704">
      <c r="B704" s="37"/>
      <c r="C704" s="37"/>
      <c r="D704" s="37"/>
      <c r="E704" s="38"/>
      <c r="F704" s="38"/>
      <c r="G704" s="38"/>
      <c r="H704" s="38"/>
      <c r="I704" s="38"/>
      <c r="J704" s="38"/>
      <c r="K704" s="38"/>
    </row>
    <row r="705">
      <c r="B705" s="37"/>
      <c r="C705" s="37"/>
      <c r="D705" s="37"/>
      <c r="E705" s="38"/>
      <c r="F705" s="38"/>
      <c r="G705" s="38"/>
      <c r="H705" s="38"/>
      <c r="I705" s="38"/>
      <c r="J705" s="38"/>
      <c r="K705" s="38"/>
    </row>
    <row r="706">
      <c r="B706" s="37"/>
      <c r="C706" s="37"/>
      <c r="D706" s="37"/>
      <c r="E706" s="38"/>
      <c r="F706" s="38"/>
      <c r="G706" s="38"/>
      <c r="H706" s="38"/>
      <c r="I706" s="38"/>
      <c r="J706" s="38"/>
      <c r="K706" s="38"/>
    </row>
    <row r="707">
      <c r="B707" s="37"/>
      <c r="C707" s="37"/>
      <c r="D707" s="37"/>
      <c r="E707" s="38"/>
      <c r="F707" s="38"/>
      <c r="G707" s="38"/>
      <c r="H707" s="38"/>
      <c r="I707" s="38"/>
      <c r="J707" s="38"/>
      <c r="K707" s="38"/>
    </row>
    <row r="708">
      <c r="B708" s="37"/>
      <c r="C708" s="37"/>
      <c r="D708" s="37"/>
      <c r="E708" s="38"/>
      <c r="F708" s="38"/>
      <c r="G708" s="38"/>
      <c r="H708" s="38"/>
      <c r="I708" s="38"/>
      <c r="J708" s="38"/>
      <c r="K708" s="38"/>
    </row>
    <row r="709">
      <c r="B709" s="37"/>
      <c r="C709" s="37"/>
      <c r="D709" s="37"/>
      <c r="E709" s="38"/>
      <c r="F709" s="38"/>
      <c r="G709" s="38"/>
      <c r="H709" s="38"/>
      <c r="I709" s="38"/>
      <c r="J709" s="38"/>
      <c r="K709" s="38"/>
    </row>
    <row r="710">
      <c r="B710" s="37"/>
      <c r="C710" s="37"/>
      <c r="D710" s="37"/>
      <c r="E710" s="38"/>
      <c r="F710" s="38"/>
      <c r="G710" s="38"/>
      <c r="H710" s="38"/>
      <c r="I710" s="38"/>
      <c r="J710" s="38"/>
      <c r="K710" s="38"/>
    </row>
    <row r="711">
      <c r="B711" s="37"/>
      <c r="C711" s="37"/>
      <c r="D711" s="37"/>
      <c r="E711" s="38"/>
      <c r="F711" s="38"/>
      <c r="G711" s="38"/>
      <c r="H711" s="38"/>
      <c r="I711" s="38"/>
      <c r="J711" s="38"/>
      <c r="K711" s="38"/>
    </row>
    <row r="712">
      <c r="B712" s="37"/>
      <c r="C712" s="37"/>
      <c r="D712" s="37"/>
      <c r="E712" s="38"/>
      <c r="F712" s="38"/>
      <c r="G712" s="38"/>
      <c r="H712" s="38"/>
      <c r="I712" s="38"/>
      <c r="J712" s="38"/>
      <c r="K712" s="38"/>
    </row>
    <row r="713">
      <c r="B713" s="37"/>
      <c r="C713" s="37"/>
      <c r="D713" s="37"/>
      <c r="E713" s="38"/>
      <c r="F713" s="38"/>
      <c r="G713" s="38"/>
      <c r="H713" s="38"/>
      <c r="I713" s="38"/>
      <c r="J713" s="38"/>
      <c r="K713" s="38"/>
    </row>
    <row r="714">
      <c r="B714" s="37"/>
      <c r="C714" s="37"/>
      <c r="D714" s="37"/>
      <c r="E714" s="38"/>
      <c r="F714" s="38"/>
      <c r="G714" s="38"/>
      <c r="H714" s="38"/>
      <c r="I714" s="38"/>
      <c r="J714" s="38"/>
      <c r="K714" s="38"/>
    </row>
    <row r="715">
      <c r="B715" s="37"/>
      <c r="C715" s="37"/>
      <c r="D715" s="37"/>
      <c r="E715" s="38"/>
      <c r="F715" s="38"/>
      <c r="G715" s="38"/>
      <c r="H715" s="38"/>
      <c r="I715" s="38"/>
      <c r="J715" s="38"/>
      <c r="K715" s="38"/>
    </row>
    <row r="716">
      <c r="B716" s="37"/>
      <c r="C716" s="37"/>
      <c r="D716" s="37"/>
      <c r="E716" s="38"/>
      <c r="F716" s="38"/>
      <c r="G716" s="38"/>
      <c r="H716" s="38"/>
      <c r="I716" s="38"/>
      <c r="J716" s="38"/>
      <c r="K716" s="38"/>
    </row>
    <row r="717">
      <c r="B717" s="37"/>
      <c r="C717" s="37"/>
      <c r="D717" s="37"/>
      <c r="E717" s="38"/>
      <c r="F717" s="38"/>
      <c r="G717" s="38"/>
      <c r="H717" s="38"/>
      <c r="I717" s="38"/>
      <c r="J717" s="38"/>
      <c r="K717" s="38"/>
    </row>
    <row r="718">
      <c r="B718" s="37"/>
      <c r="C718" s="37"/>
      <c r="D718" s="37"/>
      <c r="E718" s="38"/>
      <c r="F718" s="38"/>
      <c r="G718" s="38"/>
      <c r="H718" s="38"/>
      <c r="I718" s="38"/>
      <c r="J718" s="38"/>
      <c r="K718" s="38"/>
    </row>
    <row r="719">
      <c r="B719" s="37"/>
      <c r="C719" s="37"/>
      <c r="D719" s="37"/>
      <c r="E719" s="38"/>
      <c r="F719" s="38"/>
      <c r="G719" s="38"/>
      <c r="H719" s="38"/>
      <c r="I719" s="38"/>
      <c r="J719" s="38"/>
      <c r="K719" s="38"/>
    </row>
    <row r="720">
      <c r="B720" s="37"/>
      <c r="C720" s="37"/>
      <c r="D720" s="37"/>
      <c r="E720" s="38"/>
      <c r="F720" s="38"/>
      <c r="G720" s="38"/>
      <c r="H720" s="38"/>
      <c r="I720" s="38"/>
      <c r="J720" s="38"/>
      <c r="K720" s="38"/>
    </row>
    <row r="721">
      <c r="B721" s="37"/>
      <c r="C721" s="37"/>
      <c r="D721" s="37"/>
      <c r="E721" s="38"/>
      <c r="F721" s="38"/>
      <c r="G721" s="38"/>
      <c r="H721" s="38"/>
      <c r="I721" s="38"/>
      <c r="J721" s="38"/>
      <c r="K721" s="38"/>
    </row>
    <row r="722">
      <c r="B722" s="37"/>
      <c r="C722" s="37"/>
      <c r="D722" s="37"/>
      <c r="E722" s="38"/>
      <c r="F722" s="38"/>
      <c r="G722" s="38"/>
      <c r="H722" s="38"/>
      <c r="I722" s="38"/>
      <c r="J722" s="38"/>
      <c r="K722" s="38"/>
    </row>
    <row r="723">
      <c r="B723" s="37"/>
      <c r="C723" s="37"/>
      <c r="D723" s="37"/>
      <c r="E723" s="38"/>
      <c r="F723" s="38"/>
      <c r="G723" s="38"/>
      <c r="H723" s="38"/>
      <c r="I723" s="38"/>
      <c r="J723" s="38"/>
      <c r="K723" s="38"/>
    </row>
    <row r="724">
      <c r="B724" s="37"/>
      <c r="C724" s="37"/>
      <c r="D724" s="37"/>
      <c r="E724" s="38"/>
      <c r="F724" s="38"/>
      <c r="G724" s="38"/>
      <c r="H724" s="38"/>
      <c r="I724" s="38"/>
      <c r="J724" s="38"/>
      <c r="K724" s="38"/>
    </row>
    <row r="725">
      <c r="B725" s="37"/>
      <c r="C725" s="37"/>
      <c r="D725" s="37"/>
      <c r="E725" s="38"/>
      <c r="F725" s="38"/>
      <c r="G725" s="38"/>
      <c r="H725" s="38"/>
      <c r="I725" s="38"/>
      <c r="J725" s="38"/>
      <c r="K725" s="38"/>
    </row>
    <row r="726">
      <c r="B726" s="37"/>
      <c r="C726" s="37"/>
      <c r="D726" s="37"/>
      <c r="E726" s="38"/>
      <c r="F726" s="38"/>
      <c r="G726" s="38"/>
      <c r="H726" s="38"/>
      <c r="I726" s="38"/>
      <c r="J726" s="38"/>
      <c r="K726" s="38"/>
    </row>
    <row r="727">
      <c r="B727" s="37"/>
      <c r="C727" s="37"/>
      <c r="D727" s="37"/>
      <c r="E727" s="38"/>
      <c r="F727" s="38"/>
      <c r="G727" s="38"/>
      <c r="H727" s="38"/>
      <c r="I727" s="38"/>
      <c r="J727" s="38"/>
      <c r="K727" s="38"/>
    </row>
    <row r="728">
      <c r="B728" s="37"/>
      <c r="C728" s="37"/>
      <c r="D728" s="37"/>
      <c r="E728" s="38"/>
      <c r="F728" s="38"/>
      <c r="G728" s="38"/>
      <c r="H728" s="38"/>
      <c r="I728" s="38"/>
      <c r="J728" s="38"/>
      <c r="K728" s="38"/>
    </row>
    <row r="729">
      <c r="B729" s="37"/>
      <c r="C729" s="37"/>
      <c r="D729" s="37"/>
      <c r="E729" s="38"/>
      <c r="F729" s="38"/>
      <c r="G729" s="38"/>
      <c r="H729" s="38"/>
      <c r="I729" s="38"/>
      <c r="J729" s="38"/>
      <c r="K729" s="38"/>
    </row>
    <row r="730">
      <c r="B730" s="37"/>
      <c r="C730" s="37"/>
      <c r="D730" s="37"/>
      <c r="E730" s="38"/>
      <c r="F730" s="38"/>
      <c r="G730" s="38"/>
      <c r="H730" s="38"/>
      <c r="I730" s="38"/>
      <c r="J730" s="38"/>
      <c r="K730" s="38"/>
    </row>
    <row r="731">
      <c r="B731" s="37"/>
      <c r="C731" s="37"/>
      <c r="D731" s="37"/>
      <c r="E731" s="38"/>
      <c r="F731" s="38"/>
      <c r="G731" s="38"/>
      <c r="H731" s="38"/>
      <c r="I731" s="38"/>
      <c r="J731" s="38"/>
      <c r="K731" s="38"/>
    </row>
    <row r="732">
      <c r="B732" s="37"/>
      <c r="C732" s="37"/>
      <c r="D732" s="37"/>
      <c r="E732" s="38"/>
      <c r="F732" s="38"/>
      <c r="G732" s="38"/>
      <c r="H732" s="38"/>
      <c r="I732" s="38"/>
      <c r="J732" s="38"/>
      <c r="K732" s="38"/>
    </row>
    <row r="733">
      <c r="B733" s="37"/>
      <c r="C733" s="37"/>
      <c r="D733" s="37"/>
      <c r="E733" s="38"/>
      <c r="F733" s="38"/>
      <c r="G733" s="38"/>
      <c r="H733" s="38"/>
      <c r="I733" s="38"/>
      <c r="J733" s="38"/>
      <c r="K733" s="38"/>
    </row>
    <row r="734">
      <c r="B734" s="37"/>
      <c r="C734" s="37"/>
      <c r="D734" s="37"/>
      <c r="E734" s="38"/>
      <c r="F734" s="38"/>
      <c r="G734" s="38"/>
      <c r="H734" s="38"/>
      <c r="I734" s="38"/>
      <c r="J734" s="38"/>
      <c r="K734" s="38"/>
    </row>
    <row r="735">
      <c r="B735" s="37"/>
      <c r="C735" s="37"/>
      <c r="D735" s="37"/>
      <c r="E735" s="38"/>
      <c r="F735" s="38"/>
      <c r="G735" s="38"/>
      <c r="H735" s="38"/>
      <c r="I735" s="38"/>
      <c r="J735" s="38"/>
      <c r="K735" s="38"/>
    </row>
    <row r="736">
      <c r="B736" s="37"/>
      <c r="C736" s="37"/>
      <c r="D736" s="37"/>
      <c r="E736" s="38"/>
      <c r="F736" s="38"/>
      <c r="G736" s="38"/>
      <c r="H736" s="38"/>
      <c r="I736" s="38"/>
      <c r="J736" s="38"/>
      <c r="K736" s="38"/>
    </row>
    <row r="737">
      <c r="B737" s="37"/>
      <c r="C737" s="37"/>
      <c r="D737" s="37"/>
      <c r="E737" s="38"/>
      <c r="F737" s="38"/>
      <c r="G737" s="38"/>
      <c r="H737" s="38"/>
      <c r="I737" s="38"/>
      <c r="J737" s="38"/>
      <c r="K737" s="38"/>
    </row>
    <row r="738">
      <c r="B738" s="37"/>
      <c r="C738" s="37"/>
      <c r="D738" s="37"/>
      <c r="E738" s="38"/>
      <c r="F738" s="38"/>
      <c r="G738" s="38"/>
      <c r="H738" s="38"/>
      <c r="I738" s="38"/>
      <c r="J738" s="38"/>
      <c r="K738" s="38"/>
    </row>
    <row r="739">
      <c r="B739" s="37"/>
      <c r="C739" s="37"/>
      <c r="D739" s="37"/>
      <c r="E739" s="38"/>
      <c r="F739" s="38"/>
      <c r="G739" s="38"/>
      <c r="H739" s="38"/>
      <c r="I739" s="38"/>
      <c r="J739" s="38"/>
      <c r="K739" s="38"/>
    </row>
    <row r="740">
      <c r="B740" s="37"/>
      <c r="C740" s="37"/>
      <c r="D740" s="37"/>
      <c r="E740" s="38"/>
      <c r="F740" s="38"/>
      <c r="G740" s="38"/>
      <c r="H740" s="38"/>
      <c r="I740" s="38"/>
      <c r="J740" s="38"/>
      <c r="K740" s="38"/>
    </row>
    <row r="741">
      <c r="B741" s="37"/>
      <c r="C741" s="37"/>
      <c r="D741" s="37"/>
      <c r="E741" s="38"/>
      <c r="F741" s="38"/>
      <c r="G741" s="38"/>
      <c r="H741" s="38"/>
      <c r="I741" s="38"/>
      <c r="J741" s="38"/>
      <c r="K741" s="38"/>
    </row>
    <row r="742">
      <c r="B742" s="37"/>
      <c r="C742" s="37"/>
      <c r="D742" s="37"/>
      <c r="E742" s="38"/>
      <c r="F742" s="38"/>
      <c r="G742" s="38"/>
      <c r="H742" s="38"/>
      <c r="I742" s="38"/>
      <c r="J742" s="38"/>
      <c r="K742" s="38"/>
    </row>
    <row r="743">
      <c r="B743" s="37"/>
      <c r="C743" s="37"/>
      <c r="D743" s="37"/>
      <c r="E743" s="38"/>
      <c r="F743" s="38"/>
      <c r="G743" s="38"/>
      <c r="H743" s="38"/>
      <c r="I743" s="38"/>
      <c r="J743" s="38"/>
      <c r="K743" s="38"/>
    </row>
    <row r="744">
      <c r="B744" s="37"/>
      <c r="C744" s="37"/>
      <c r="D744" s="37"/>
      <c r="E744" s="38"/>
      <c r="F744" s="38"/>
      <c r="G744" s="38"/>
      <c r="H744" s="38"/>
      <c r="I744" s="38"/>
      <c r="J744" s="38"/>
      <c r="K744" s="38"/>
    </row>
    <row r="745">
      <c r="B745" s="37"/>
      <c r="C745" s="37"/>
      <c r="D745" s="37"/>
      <c r="E745" s="38"/>
      <c r="F745" s="38"/>
      <c r="G745" s="38"/>
      <c r="H745" s="38"/>
      <c r="I745" s="38"/>
      <c r="J745" s="38"/>
      <c r="K745" s="38"/>
    </row>
    <row r="746">
      <c r="B746" s="37"/>
      <c r="C746" s="37"/>
      <c r="D746" s="37"/>
      <c r="E746" s="38"/>
      <c r="F746" s="38"/>
      <c r="G746" s="38"/>
      <c r="H746" s="38"/>
      <c r="I746" s="38"/>
      <c r="J746" s="38"/>
      <c r="K746" s="38"/>
    </row>
    <row r="747">
      <c r="B747" s="37"/>
      <c r="C747" s="37"/>
      <c r="D747" s="37"/>
      <c r="E747" s="38"/>
      <c r="F747" s="38"/>
      <c r="G747" s="38"/>
      <c r="H747" s="38"/>
      <c r="I747" s="38"/>
      <c r="J747" s="38"/>
      <c r="K747" s="38"/>
    </row>
    <row r="748">
      <c r="B748" s="37"/>
      <c r="C748" s="37"/>
      <c r="D748" s="37"/>
      <c r="E748" s="38"/>
      <c r="F748" s="38"/>
      <c r="G748" s="38"/>
      <c r="H748" s="38"/>
      <c r="I748" s="38"/>
      <c r="J748" s="38"/>
      <c r="K748" s="38"/>
    </row>
    <row r="749">
      <c r="B749" s="37"/>
      <c r="C749" s="37"/>
      <c r="D749" s="37"/>
      <c r="E749" s="38"/>
      <c r="F749" s="38"/>
      <c r="G749" s="38"/>
      <c r="H749" s="38"/>
      <c r="I749" s="38"/>
      <c r="J749" s="38"/>
      <c r="K749" s="38"/>
    </row>
    <row r="750">
      <c r="B750" s="37"/>
      <c r="C750" s="37"/>
      <c r="D750" s="37"/>
      <c r="E750" s="38"/>
      <c r="F750" s="38"/>
      <c r="G750" s="38"/>
      <c r="H750" s="38"/>
      <c r="I750" s="38"/>
      <c r="J750" s="38"/>
      <c r="K750" s="38"/>
    </row>
    <row r="751">
      <c r="B751" s="37"/>
      <c r="C751" s="37"/>
      <c r="D751" s="37"/>
      <c r="E751" s="38"/>
      <c r="F751" s="38"/>
      <c r="G751" s="38"/>
      <c r="H751" s="38"/>
      <c r="I751" s="38"/>
      <c r="J751" s="38"/>
      <c r="K751" s="38"/>
    </row>
    <row r="752">
      <c r="B752" s="37"/>
      <c r="C752" s="37"/>
      <c r="D752" s="37"/>
      <c r="E752" s="38"/>
      <c r="F752" s="38"/>
      <c r="G752" s="38"/>
      <c r="H752" s="38"/>
      <c r="I752" s="38"/>
      <c r="J752" s="38"/>
      <c r="K752" s="38"/>
    </row>
    <row r="753">
      <c r="B753" s="37"/>
      <c r="C753" s="37"/>
      <c r="D753" s="37"/>
      <c r="E753" s="38"/>
      <c r="F753" s="38"/>
      <c r="G753" s="38"/>
      <c r="H753" s="38"/>
      <c r="I753" s="38"/>
      <c r="J753" s="38"/>
      <c r="K753" s="38"/>
    </row>
    <row r="754">
      <c r="B754" s="37"/>
      <c r="C754" s="37"/>
      <c r="D754" s="37"/>
      <c r="E754" s="38"/>
      <c r="F754" s="38"/>
      <c r="G754" s="38"/>
      <c r="H754" s="38"/>
      <c r="I754" s="38"/>
      <c r="J754" s="38"/>
      <c r="K754" s="38"/>
    </row>
    <row r="755">
      <c r="B755" s="37"/>
      <c r="C755" s="37"/>
      <c r="D755" s="37"/>
      <c r="E755" s="38"/>
      <c r="F755" s="38"/>
      <c r="G755" s="38"/>
      <c r="H755" s="38"/>
      <c r="I755" s="38"/>
      <c r="J755" s="38"/>
      <c r="K755" s="38"/>
    </row>
    <row r="756">
      <c r="B756" s="37"/>
      <c r="C756" s="37"/>
      <c r="D756" s="37"/>
      <c r="E756" s="38"/>
      <c r="F756" s="38"/>
      <c r="G756" s="38"/>
      <c r="H756" s="38"/>
      <c r="I756" s="38"/>
      <c r="J756" s="38"/>
      <c r="K756" s="38"/>
    </row>
    <row r="757">
      <c r="B757" s="37"/>
      <c r="C757" s="37"/>
      <c r="D757" s="37"/>
      <c r="E757" s="38"/>
      <c r="F757" s="38"/>
      <c r="G757" s="38"/>
      <c r="H757" s="38"/>
      <c r="I757" s="38"/>
      <c r="J757" s="38"/>
      <c r="K757" s="38"/>
    </row>
    <row r="758">
      <c r="B758" s="37"/>
      <c r="C758" s="37"/>
      <c r="D758" s="37"/>
      <c r="E758" s="38"/>
      <c r="F758" s="38"/>
      <c r="G758" s="38"/>
      <c r="H758" s="38"/>
      <c r="I758" s="38"/>
      <c r="J758" s="38"/>
      <c r="K758" s="38"/>
    </row>
    <row r="759">
      <c r="B759" s="37"/>
      <c r="C759" s="37"/>
      <c r="D759" s="37"/>
      <c r="E759" s="38"/>
      <c r="F759" s="38"/>
      <c r="G759" s="38"/>
      <c r="H759" s="38"/>
      <c r="I759" s="38"/>
      <c r="J759" s="38"/>
      <c r="K759" s="38"/>
    </row>
    <row r="760">
      <c r="B760" s="37"/>
      <c r="C760" s="37"/>
      <c r="D760" s="37"/>
      <c r="E760" s="38"/>
      <c r="F760" s="38"/>
      <c r="G760" s="38"/>
      <c r="H760" s="38"/>
      <c r="I760" s="38"/>
      <c r="J760" s="38"/>
      <c r="K760" s="38"/>
    </row>
    <row r="761">
      <c r="B761" s="37"/>
      <c r="C761" s="37"/>
      <c r="D761" s="37"/>
      <c r="E761" s="38"/>
      <c r="F761" s="38"/>
      <c r="G761" s="38"/>
      <c r="H761" s="38"/>
      <c r="I761" s="38"/>
      <c r="J761" s="38"/>
      <c r="K761" s="38"/>
    </row>
    <row r="762">
      <c r="B762" s="37"/>
      <c r="C762" s="37"/>
      <c r="D762" s="37"/>
      <c r="E762" s="38"/>
      <c r="F762" s="38"/>
      <c r="G762" s="38"/>
      <c r="H762" s="38"/>
      <c r="I762" s="38"/>
      <c r="J762" s="38"/>
      <c r="K762" s="38"/>
    </row>
    <row r="763">
      <c r="B763" s="37"/>
      <c r="C763" s="37"/>
      <c r="D763" s="37"/>
      <c r="E763" s="38"/>
      <c r="F763" s="38"/>
      <c r="G763" s="38"/>
      <c r="H763" s="38"/>
      <c r="I763" s="38"/>
      <c r="J763" s="38"/>
      <c r="K763" s="38"/>
    </row>
    <row r="764">
      <c r="B764" s="37"/>
      <c r="C764" s="37"/>
      <c r="D764" s="37"/>
      <c r="E764" s="38"/>
      <c r="F764" s="38"/>
      <c r="G764" s="38"/>
      <c r="H764" s="38"/>
      <c r="I764" s="38"/>
      <c r="J764" s="38"/>
      <c r="K764" s="38"/>
    </row>
    <row r="765">
      <c r="B765" s="37"/>
      <c r="C765" s="37"/>
      <c r="D765" s="37"/>
      <c r="E765" s="38"/>
      <c r="F765" s="38"/>
      <c r="G765" s="38"/>
      <c r="H765" s="38"/>
      <c r="I765" s="38"/>
      <c r="J765" s="38"/>
      <c r="K765" s="38"/>
    </row>
    <row r="766">
      <c r="B766" s="37"/>
      <c r="C766" s="37"/>
      <c r="D766" s="37"/>
      <c r="E766" s="38"/>
      <c r="F766" s="38"/>
      <c r="G766" s="38"/>
      <c r="H766" s="38"/>
      <c r="I766" s="38"/>
      <c r="J766" s="38"/>
      <c r="K766" s="38"/>
    </row>
    <row r="767">
      <c r="B767" s="37"/>
      <c r="C767" s="37"/>
      <c r="D767" s="37"/>
      <c r="E767" s="38"/>
      <c r="F767" s="38"/>
      <c r="G767" s="38"/>
      <c r="H767" s="38"/>
      <c r="I767" s="38"/>
      <c r="J767" s="38"/>
      <c r="K767" s="38"/>
    </row>
    <row r="768">
      <c r="B768" s="37"/>
      <c r="C768" s="37"/>
      <c r="D768" s="37"/>
      <c r="E768" s="38"/>
      <c r="F768" s="38"/>
      <c r="G768" s="38"/>
      <c r="H768" s="38"/>
      <c r="I768" s="38"/>
      <c r="J768" s="38"/>
      <c r="K768" s="38"/>
    </row>
    <row r="769">
      <c r="B769" s="37"/>
      <c r="C769" s="37"/>
      <c r="D769" s="37"/>
      <c r="E769" s="38"/>
      <c r="F769" s="38"/>
      <c r="G769" s="38"/>
      <c r="H769" s="38"/>
      <c r="I769" s="38"/>
      <c r="J769" s="38"/>
      <c r="K769" s="38"/>
    </row>
    <row r="770">
      <c r="B770" s="37"/>
      <c r="C770" s="37"/>
      <c r="D770" s="37"/>
      <c r="E770" s="38"/>
      <c r="F770" s="38"/>
      <c r="G770" s="38"/>
      <c r="H770" s="38"/>
      <c r="I770" s="38"/>
      <c r="J770" s="38"/>
      <c r="K770" s="38"/>
    </row>
    <row r="771">
      <c r="B771" s="37"/>
      <c r="C771" s="37"/>
      <c r="D771" s="37"/>
      <c r="E771" s="38"/>
      <c r="F771" s="38"/>
      <c r="G771" s="38"/>
      <c r="H771" s="38"/>
      <c r="I771" s="38"/>
      <c r="J771" s="38"/>
      <c r="K771" s="38"/>
    </row>
    <row r="772">
      <c r="B772" s="37"/>
      <c r="C772" s="37"/>
      <c r="D772" s="37"/>
      <c r="E772" s="38"/>
      <c r="F772" s="38"/>
      <c r="G772" s="38"/>
      <c r="H772" s="38"/>
      <c r="I772" s="38"/>
      <c r="J772" s="38"/>
      <c r="K772" s="38"/>
    </row>
    <row r="773">
      <c r="B773" s="37"/>
      <c r="C773" s="37"/>
      <c r="D773" s="37"/>
      <c r="E773" s="38"/>
      <c r="F773" s="38"/>
      <c r="G773" s="38"/>
      <c r="H773" s="38"/>
      <c r="I773" s="38"/>
      <c r="J773" s="38"/>
      <c r="K773" s="38"/>
    </row>
    <row r="774">
      <c r="B774" s="37"/>
      <c r="C774" s="37"/>
      <c r="D774" s="37"/>
      <c r="E774" s="38"/>
      <c r="F774" s="38"/>
      <c r="G774" s="38"/>
      <c r="H774" s="38"/>
      <c r="I774" s="38"/>
      <c r="J774" s="38"/>
      <c r="K774" s="38"/>
    </row>
    <row r="775">
      <c r="B775" s="37"/>
      <c r="C775" s="37"/>
      <c r="D775" s="37"/>
      <c r="E775" s="38"/>
      <c r="F775" s="38"/>
      <c r="G775" s="38"/>
      <c r="H775" s="38"/>
      <c r="I775" s="38"/>
      <c r="J775" s="38"/>
      <c r="K775" s="38"/>
    </row>
    <row r="776">
      <c r="B776" s="37"/>
      <c r="C776" s="37"/>
      <c r="D776" s="37"/>
      <c r="E776" s="38"/>
      <c r="F776" s="38"/>
      <c r="G776" s="38"/>
      <c r="H776" s="38"/>
      <c r="I776" s="38"/>
      <c r="J776" s="38"/>
      <c r="K776" s="38"/>
    </row>
    <row r="777">
      <c r="B777" s="37"/>
      <c r="C777" s="37"/>
      <c r="D777" s="37"/>
      <c r="E777" s="38"/>
      <c r="F777" s="38"/>
      <c r="G777" s="38"/>
      <c r="H777" s="38"/>
      <c r="I777" s="38"/>
      <c r="J777" s="38"/>
      <c r="K777" s="38"/>
    </row>
    <row r="778">
      <c r="B778" s="37"/>
      <c r="C778" s="37"/>
      <c r="D778" s="37"/>
      <c r="E778" s="38"/>
      <c r="F778" s="38"/>
      <c r="G778" s="38"/>
      <c r="H778" s="38"/>
      <c r="I778" s="38"/>
      <c r="J778" s="38"/>
      <c r="K778" s="38"/>
    </row>
    <row r="779">
      <c r="B779" s="37"/>
      <c r="C779" s="37"/>
      <c r="D779" s="37"/>
      <c r="E779" s="38"/>
      <c r="F779" s="38"/>
      <c r="G779" s="38"/>
      <c r="H779" s="38"/>
      <c r="I779" s="38"/>
      <c r="J779" s="38"/>
      <c r="K779" s="38"/>
    </row>
    <row r="780">
      <c r="B780" s="37"/>
      <c r="C780" s="37"/>
      <c r="D780" s="37"/>
      <c r="E780" s="38"/>
      <c r="F780" s="38"/>
      <c r="G780" s="38"/>
      <c r="H780" s="38"/>
      <c r="I780" s="38"/>
      <c r="J780" s="38"/>
      <c r="K780" s="38"/>
    </row>
    <row r="781">
      <c r="B781" s="37"/>
      <c r="C781" s="37"/>
      <c r="D781" s="37"/>
      <c r="E781" s="38"/>
      <c r="F781" s="38"/>
      <c r="G781" s="38"/>
      <c r="H781" s="38"/>
      <c r="I781" s="38"/>
      <c r="J781" s="38"/>
      <c r="K781" s="38"/>
    </row>
    <row r="782">
      <c r="B782" s="37"/>
      <c r="C782" s="37"/>
      <c r="D782" s="37"/>
      <c r="E782" s="38"/>
      <c r="F782" s="38"/>
      <c r="G782" s="38"/>
      <c r="H782" s="38"/>
      <c r="I782" s="38"/>
      <c r="J782" s="38"/>
      <c r="K782" s="38"/>
    </row>
    <row r="783">
      <c r="B783" s="37"/>
      <c r="C783" s="37"/>
      <c r="D783" s="37"/>
      <c r="E783" s="38"/>
      <c r="F783" s="38"/>
      <c r="G783" s="38"/>
      <c r="H783" s="38"/>
      <c r="I783" s="38"/>
      <c r="J783" s="38"/>
      <c r="K783" s="38"/>
    </row>
    <row r="784">
      <c r="B784" s="37"/>
      <c r="C784" s="37"/>
      <c r="D784" s="37"/>
      <c r="E784" s="38"/>
      <c r="F784" s="38"/>
      <c r="G784" s="38"/>
      <c r="H784" s="38"/>
      <c r="I784" s="38"/>
      <c r="J784" s="38"/>
      <c r="K784" s="38"/>
    </row>
    <row r="785">
      <c r="B785" s="37"/>
      <c r="C785" s="37"/>
      <c r="D785" s="37"/>
      <c r="E785" s="38"/>
      <c r="F785" s="38"/>
      <c r="G785" s="38"/>
      <c r="H785" s="38"/>
      <c r="I785" s="38"/>
      <c r="J785" s="38"/>
      <c r="K785" s="38"/>
    </row>
    <row r="786">
      <c r="B786" s="37"/>
      <c r="C786" s="37"/>
      <c r="D786" s="37"/>
      <c r="E786" s="38"/>
      <c r="F786" s="38"/>
      <c r="G786" s="38"/>
      <c r="H786" s="38"/>
      <c r="I786" s="38"/>
      <c r="J786" s="38"/>
      <c r="K786" s="38"/>
    </row>
    <row r="787">
      <c r="B787" s="37"/>
      <c r="C787" s="37"/>
      <c r="D787" s="37"/>
      <c r="E787" s="38"/>
      <c r="F787" s="38"/>
      <c r="G787" s="38"/>
      <c r="H787" s="38"/>
      <c r="I787" s="38"/>
      <c r="J787" s="38"/>
      <c r="K787" s="38"/>
    </row>
    <row r="788">
      <c r="B788" s="37"/>
      <c r="C788" s="37"/>
      <c r="D788" s="37"/>
      <c r="E788" s="38"/>
      <c r="F788" s="38"/>
      <c r="G788" s="38"/>
      <c r="H788" s="38"/>
      <c r="I788" s="38"/>
      <c r="J788" s="38"/>
      <c r="K788" s="38"/>
    </row>
    <row r="789">
      <c r="B789" s="37"/>
      <c r="C789" s="37"/>
      <c r="D789" s="37"/>
      <c r="E789" s="38"/>
      <c r="F789" s="38"/>
      <c r="G789" s="38"/>
      <c r="H789" s="38"/>
      <c r="I789" s="38"/>
      <c r="J789" s="38"/>
      <c r="K789" s="38"/>
    </row>
    <row r="790">
      <c r="B790" s="37"/>
      <c r="C790" s="37"/>
      <c r="D790" s="37"/>
      <c r="E790" s="38"/>
      <c r="F790" s="38"/>
      <c r="G790" s="38"/>
      <c r="H790" s="38"/>
      <c r="I790" s="38"/>
      <c r="J790" s="38"/>
      <c r="K790" s="38"/>
    </row>
    <row r="791">
      <c r="B791" s="37"/>
      <c r="C791" s="37"/>
      <c r="D791" s="37"/>
      <c r="E791" s="38"/>
      <c r="F791" s="38"/>
      <c r="G791" s="38"/>
      <c r="H791" s="38"/>
      <c r="I791" s="38"/>
      <c r="J791" s="38"/>
      <c r="K791" s="38"/>
    </row>
    <row r="792">
      <c r="B792" s="37"/>
      <c r="C792" s="37"/>
      <c r="D792" s="37"/>
      <c r="E792" s="38"/>
      <c r="F792" s="38"/>
      <c r="G792" s="38"/>
      <c r="H792" s="38"/>
      <c r="I792" s="38"/>
      <c r="J792" s="38"/>
      <c r="K792" s="38"/>
    </row>
    <row r="793">
      <c r="B793" s="37"/>
      <c r="C793" s="37"/>
      <c r="D793" s="37"/>
      <c r="E793" s="38"/>
      <c r="F793" s="38"/>
      <c r="G793" s="38"/>
      <c r="H793" s="38"/>
      <c r="I793" s="38"/>
      <c r="J793" s="38"/>
      <c r="K793" s="38"/>
    </row>
    <row r="794">
      <c r="B794" s="37"/>
      <c r="C794" s="37"/>
      <c r="D794" s="37"/>
      <c r="E794" s="38"/>
      <c r="F794" s="38"/>
      <c r="G794" s="38"/>
      <c r="H794" s="38"/>
      <c r="I794" s="38"/>
      <c r="J794" s="38"/>
      <c r="K794" s="38"/>
    </row>
    <row r="795">
      <c r="B795" s="37"/>
      <c r="C795" s="37"/>
      <c r="D795" s="37"/>
      <c r="E795" s="38"/>
      <c r="F795" s="38"/>
      <c r="G795" s="38"/>
      <c r="H795" s="38"/>
      <c r="I795" s="38"/>
      <c r="J795" s="38"/>
      <c r="K795" s="38"/>
    </row>
    <row r="796">
      <c r="B796" s="37"/>
      <c r="C796" s="37"/>
      <c r="D796" s="37"/>
      <c r="E796" s="38"/>
      <c r="F796" s="38"/>
      <c r="G796" s="38"/>
      <c r="H796" s="38"/>
      <c r="I796" s="38"/>
      <c r="J796" s="38"/>
      <c r="K796" s="38"/>
    </row>
    <row r="797">
      <c r="B797" s="37"/>
      <c r="C797" s="37"/>
      <c r="D797" s="37"/>
      <c r="E797" s="38"/>
      <c r="F797" s="38"/>
      <c r="G797" s="38"/>
      <c r="H797" s="38"/>
      <c r="I797" s="38"/>
      <c r="J797" s="38"/>
      <c r="K797" s="38"/>
    </row>
    <row r="798">
      <c r="B798" s="37"/>
      <c r="C798" s="37"/>
      <c r="D798" s="37"/>
      <c r="E798" s="38"/>
      <c r="F798" s="38"/>
      <c r="G798" s="38"/>
      <c r="H798" s="38"/>
      <c r="I798" s="38"/>
      <c r="J798" s="38"/>
      <c r="K798" s="38"/>
    </row>
    <row r="799">
      <c r="B799" s="37"/>
      <c r="C799" s="37"/>
      <c r="D799" s="37"/>
      <c r="E799" s="38"/>
      <c r="F799" s="38"/>
      <c r="G799" s="38"/>
      <c r="H799" s="38"/>
      <c r="I799" s="38"/>
      <c r="J799" s="38"/>
      <c r="K799" s="38"/>
    </row>
    <row r="800">
      <c r="B800" s="37"/>
      <c r="C800" s="37"/>
      <c r="D800" s="37"/>
      <c r="E800" s="38"/>
      <c r="F800" s="38"/>
      <c r="G800" s="38"/>
      <c r="H800" s="38"/>
      <c r="I800" s="38"/>
      <c r="J800" s="38"/>
      <c r="K800" s="38"/>
    </row>
    <row r="801">
      <c r="B801" s="37"/>
      <c r="C801" s="37"/>
      <c r="D801" s="37"/>
      <c r="E801" s="38"/>
      <c r="F801" s="38"/>
      <c r="G801" s="38"/>
      <c r="H801" s="38"/>
      <c r="I801" s="38"/>
      <c r="J801" s="38"/>
      <c r="K801" s="38"/>
    </row>
    <row r="802">
      <c r="B802" s="37"/>
      <c r="C802" s="37"/>
      <c r="D802" s="37"/>
      <c r="E802" s="38"/>
      <c r="F802" s="38"/>
      <c r="G802" s="38"/>
      <c r="H802" s="38"/>
      <c r="I802" s="38"/>
      <c r="J802" s="38"/>
      <c r="K802" s="38"/>
    </row>
    <row r="803">
      <c r="B803" s="37"/>
      <c r="C803" s="37"/>
      <c r="D803" s="37"/>
      <c r="E803" s="38"/>
      <c r="F803" s="38"/>
      <c r="G803" s="38"/>
      <c r="H803" s="38"/>
      <c r="I803" s="38"/>
      <c r="J803" s="38"/>
      <c r="K803" s="38"/>
    </row>
    <row r="804">
      <c r="B804" s="37"/>
      <c r="C804" s="37"/>
      <c r="D804" s="37"/>
      <c r="E804" s="38"/>
      <c r="F804" s="38"/>
      <c r="G804" s="38"/>
      <c r="H804" s="38"/>
      <c r="I804" s="38"/>
      <c r="J804" s="38"/>
      <c r="K804" s="38"/>
    </row>
    <row r="805">
      <c r="B805" s="37"/>
      <c r="C805" s="37"/>
      <c r="D805" s="37"/>
      <c r="E805" s="38"/>
      <c r="F805" s="38"/>
      <c r="G805" s="38"/>
      <c r="H805" s="38"/>
      <c r="I805" s="38"/>
      <c r="J805" s="38"/>
      <c r="K805" s="38"/>
    </row>
    <row r="806">
      <c r="B806" s="37"/>
      <c r="C806" s="37"/>
      <c r="D806" s="37"/>
      <c r="E806" s="38"/>
      <c r="F806" s="38"/>
      <c r="G806" s="38"/>
      <c r="H806" s="38"/>
      <c r="I806" s="38"/>
      <c r="J806" s="38"/>
      <c r="K806" s="38"/>
    </row>
    <row r="807">
      <c r="B807" s="37"/>
      <c r="C807" s="37"/>
      <c r="D807" s="37"/>
      <c r="E807" s="38"/>
      <c r="F807" s="38"/>
      <c r="G807" s="38"/>
      <c r="H807" s="38"/>
      <c r="I807" s="38"/>
      <c r="J807" s="38"/>
      <c r="K807" s="38"/>
    </row>
    <row r="808">
      <c r="B808" s="37"/>
      <c r="C808" s="37"/>
      <c r="D808" s="37"/>
      <c r="E808" s="38"/>
      <c r="F808" s="38"/>
      <c r="G808" s="38"/>
      <c r="H808" s="38"/>
      <c r="I808" s="38"/>
      <c r="J808" s="38"/>
      <c r="K808" s="38"/>
    </row>
    <row r="809">
      <c r="B809" s="37"/>
      <c r="C809" s="37"/>
      <c r="D809" s="37"/>
      <c r="E809" s="38"/>
      <c r="F809" s="38"/>
      <c r="G809" s="38"/>
      <c r="H809" s="38"/>
      <c r="I809" s="38"/>
      <c r="J809" s="38"/>
      <c r="K809" s="38"/>
    </row>
    <row r="810">
      <c r="B810" s="37"/>
      <c r="C810" s="37"/>
      <c r="D810" s="37"/>
      <c r="E810" s="38"/>
      <c r="F810" s="38"/>
      <c r="G810" s="38"/>
      <c r="H810" s="38"/>
      <c r="I810" s="38"/>
      <c r="J810" s="38"/>
      <c r="K810" s="38"/>
    </row>
    <row r="811">
      <c r="B811" s="37"/>
      <c r="C811" s="37"/>
      <c r="D811" s="37"/>
      <c r="E811" s="38"/>
      <c r="F811" s="38"/>
      <c r="G811" s="38"/>
      <c r="H811" s="38"/>
      <c r="I811" s="38"/>
      <c r="J811" s="38"/>
      <c r="K811" s="38"/>
    </row>
    <row r="812">
      <c r="B812" s="37"/>
      <c r="C812" s="37"/>
      <c r="D812" s="37"/>
      <c r="E812" s="38"/>
      <c r="F812" s="38"/>
      <c r="G812" s="38"/>
      <c r="H812" s="38"/>
      <c r="I812" s="38"/>
      <c r="J812" s="38"/>
      <c r="K812" s="38"/>
    </row>
    <row r="813">
      <c r="B813" s="37"/>
      <c r="C813" s="37"/>
      <c r="D813" s="37"/>
      <c r="E813" s="38"/>
      <c r="F813" s="38"/>
      <c r="G813" s="38"/>
      <c r="H813" s="38"/>
      <c r="I813" s="38"/>
      <c r="J813" s="38"/>
      <c r="K813" s="38"/>
    </row>
    <row r="814">
      <c r="B814" s="37"/>
      <c r="C814" s="37"/>
      <c r="D814" s="37"/>
      <c r="E814" s="38"/>
      <c r="F814" s="38"/>
      <c r="G814" s="38"/>
      <c r="H814" s="38"/>
      <c r="I814" s="38"/>
      <c r="J814" s="38"/>
      <c r="K814" s="38"/>
    </row>
    <row r="815">
      <c r="B815" s="37"/>
      <c r="C815" s="37"/>
      <c r="D815" s="37"/>
      <c r="E815" s="38"/>
      <c r="F815" s="38"/>
      <c r="G815" s="38"/>
      <c r="H815" s="38"/>
      <c r="I815" s="38"/>
      <c r="J815" s="38"/>
      <c r="K815" s="38"/>
    </row>
    <row r="816">
      <c r="B816" s="37"/>
      <c r="C816" s="37"/>
      <c r="D816" s="37"/>
      <c r="E816" s="38"/>
      <c r="F816" s="38"/>
      <c r="G816" s="38"/>
      <c r="H816" s="38"/>
      <c r="I816" s="38"/>
      <c r="J816" s="38"/>
      <c r="K816" s="38"/>
    </row>
    <row r="817">
      <c r="B817" s="37"/>
      <c r="C817" s="37"/>
      <c r="D817" s="37"/>
      <c r="E817" s="38"/>
      <c r="F817" s="38"/>
      <c r="G817" s="38"/>
      <c r="H817" s="38"/>
      <c r="I817" s="38"/>
      <c r="J817" s="38"/>
      <c r="K817" s="38"/>
    </row>
    <row r="818">
      <c r="B818" s="37"/>
      <c r="C818" s="37"/>
      <c r="D818" s="37"/>
      <c r="E818" s="38"/>
      <c r="F818" s="38"/>
      <c r="G818" s="38"/>
      <c r="H818" s="38"/>
      <c r="I818" s="38"/>
      <c r="J818" s="38"/>
      <c r="K818" s="38"/>
    </row>
    <row r="819">
      <c r="B819" s="37"/>
      <c r="C819" s="37"/>
      <c r="D819" s="37"/>
      <c r="E819" s="38"/>
      <c r="F819" s="38"/>
      <c r="G819" s="38"/>
      <c r="H819" s="38"/>
      <c r="I819" s="38"/>
      <c r="J819" s="38"/>
      <c r="K819" s="38"/>
    </row>
    <row r="820">
      <c r="B820" s="37"/>
      <c r="C820" s="37"/>
      <c r="D820" s="37"/>
      <c r="E820" s="38"/>
      <c r="F820" s="38"/>
      <c r="G820" s="38"/>
      <c r="H820" s="38"/>
      <c r="I820" s="38"/>
      <c r="J820" s="38"/>
      <c r="K820" s="38"/>
    </row>
    <row r="821">
      <c r="B821" s="37"/>
      <c r="C821" s="37"/>
      <c r="D821" s="37"/>
      <c r="E821" s="38"/>
      <c r="F821" s="38"/>
      <c r="G821" s="38"/>
      <c r="H821" s="38"/>
      <c r="I821" s="38"/>
      <c r="J821" s="38"/>
      <c r="K821" s="38"/>
    </row>
    <row r="822">
      <c r="B822" s="37"/>
      <c r="C822" s="37"/>
      <c r="D822" s="37"/>
      <c r="E822" s="38"/>
      <c r="F822" s="38"/>
      <c r="G822" s="38"/>
      <c r="H822" s="38"/>
      <c r="I822" s="38"/>
      <c r="J822" s="38"/>
      <c r="K822" s="38"/>
    </row>
    <row r="823">
      <c r="B823" s="37"/>
      <c r="C823" s="37"/>
      <c r="D823" s="37"/>
      <c r="E823" s="38"/>
      <c r="F823" s="38"/>
      <c r="G823" s="38"/>
      <c r="H823" s="38"/>
      <c r="I823" s="38"/>
      <c r="J823" s="38"/>
      <c r="K823" s="38"/>
    </row>
    <row r="824">
      <c r="B824" s="37"/>
      <c r="C824" s="37"/>
      <c r="D824" s="37"/>
      <c r="E824" s="38"/>
      <c r="F824" s="38"/>
      <c r="G824" s="38"/>
      <c r="H824" s="38"/>
      <c r="I824" s="38"/>
      <c r="J824" s="38"/>
      <c r="K824" s="38"/>
    </row>
    <row r="825">
      <c r="B825" s="37"/>
      <c r="C825" s="37"/>
      <c r="D825" s="37"/>
      <c r="E825" s="38"/>
      <c r="F825" s="38"/>
      <c r="G825" s="38"/>
      <c r="H825" s="38"/>
      <c r="I825" s="38"/>
      <c r="J825" s="38"/>
      <c r="K825" s="38"/>
    </row>
    <row r="826">
      <c r="B826" s="37"/>
      <c r="C826" s="37"/>
      <c r="D826" s="37"/>
      <c r="E826" s="38"/>
      <c r="F826" s="38"/>
      <c r="G826" s="38"/>
      <c r="H826" s="38"/>
      <c r="I826" s="38"/>
      <c r="J826" s="38"/>
      <c r="K826" s="38"/>
    </row>
    <row r="827">
      <c r="B827" s="37"/>
      <c r="C827" s="37"/>
      <c r="D827" s="37"/>
      <c r="E827" s="38"/>
      <c r="F827" s="38"/>
      <c r="G827" s="38"/>
      <c r="H827" s="38"/>
      <c r="I827" s="38"/>
      <c r="J827" s="38"/>
      <c r="K827" s="38"/>
    </row>
    <row r="828">
      <c r="B828" s="37"/>
      <c r="C828" s="37"/>
      <c r="D828" s="37"/>
      <c r="E828" s="38"/>
      <c r="F828" s="38"/>
      <c r="G828" s="38"/>
      <c r="H828" s="38"/>
      <c r="I828" s="38"/>
      <c r="J828" s="38"/>
      <c r="K828" s="38"/>
    </row>
    <row r="829">
      <c r="B829" s="37"/>
      <c r="C829" s="37"/>
      <c r="D829" s="37"/>
      <c r="E829" s="38"/>
      <c r="F829" s="38"/>
      <c r="G829" s="38"/>
      <c r="H829" s="38"/>
      <c r="I829" s="38"/>
      <c r="J829" s="38"/>
      <c r="K829" s="38"/>
    </row>
    <row r="830">
      <c r="B830" s="37"/>
      <c r="C830" s="37"/>
      <c r="D830" s="37"/>
      <c r="E830" s="38"/>
      <c r="F830" s="38"/>
      <c r="G830" s="38"/>
      <c r="H830" s="38"/>
      <c r="I830" s="38"/>
      <c r="J830" s="38"/>
      <c r="K830" s="38"/>
    </row>
    <row r="831">
      <c r="B831" s="37"/>
      <c r="C831" s="37"/>
      <c r="D831" s="37"/>
      <c r="E831" s="38"/>
      <c r="F831" s="38"/>
      <c r="G831" s="38"/>
      <c r="H831" s="38"/>
      <c r="I831" s="38"/>
      <c r="J831" s="38"/>
      <c r="K831" s="38"/>
    </row>
    <row r="832">
      <c r="B832" s="37"/>
      <c r="C832" s="37"/>
      <c r="D832" s="37"/>
      <c r="E832" s="38"/>
      <c r="F832" s="38"/>
      <c r="G832" s="38"/>
      <c r="H832" s="38"/>
      <c r="I832" s="38"/>
      <c r="J832" s="38"/>
      <c r="K832" s="38"/>
    </row>
    <row r="833">
      <c r="B833" s="37"/>
      <c r="C833" s="37"/>
      <c r="D833" s="37"/>
      <c r="E833" s="38"/>
      <c r="F833" s="38"/>
      <c r="G833" s="38"/>
      <c r="H833" s="38"/>
      <c r="I833" s="38"/>
      <c r="J833" s="38"/>
      <c r="K833" s="38"/>
    </row>
    <row r="834">
      <c r="B834" s="37"/>
      <c r="C834" s="37"/>
      <c r="D834" s="37"/>
      <c r="E834" s="38"/>
      <c r="F834" s="38"/>
      <c r="G834" s="38"/>
      <c r="H834" s="38"/>
      <c r="I834" s="38"/>
      <c r="J834" s="38"/>
      <c r="K834" s="38"/>
    </row>
    <row r="835">
      <c r="B835" s="37"/>
      <c r="C835" s="37"/>
      <c r="D835" s="37"/>
      <c r="E835" s="38"/>
      <c r="F835" s="38"/>
      <c r="G835" s="38"/>
      <c r="H835" s="38"/>
      <c r="I835" s="38"/>
      <c r="J835" s="38"/>
      <c r="K835" s="38"/>
    </row>
    <row r="836">
      <c r="B836" s="37"/>
      <c r="C836" s="37"/>
      <c r="D836" s="37"/>
      <c r="E836" s="38"/>
      <c r="F836" s="38"/>
      <c r="G836" s="38"/>
      <c r="H836" s="38"/>
      <c r="I836" s="38"/>
      <c r="J836" s="38"/>
      <c r="K836" s="38"/>
    </row>
    <row r="837">
      <c r="B837" s="37"/>
      <c r="C837" s="37"/>
      <c r="D837" s="37"/>
      <c r="E837" s="38"/>
      <c r="F837" s="38"/>
      <c r="G837" s="38"/>
      <c r="H837" s="38"/>
      <c r="I837" s="38"/>
      <c r="J837" s="38"/>
      <c r="K837" s="38"/>
    </row>
    <row r="838">
      <c r="B838" s="37"/>
      <c r="C838" s="37"/>
      <c r="D838" s="37"/>
      <c r="E838" s="38"/>
      <c r="F838" s="38"/>
      <c r="G838" s="38"/>
      <c r="H838" s="38"/>
      <c r="I838" s="38"/>
      <c r="J838" s="38"/>
      <c r="K838" s="38"/>
    </row>
    <row r="839">
      <c r="B839" s="37"/>
      <c r="C839" s="37"/>
      <c r="D839" s="37"/>
      <c r="E839" s="38"/>
      <c r="F839" s="38"/>
      <c r="G839" s="38"/>
      <c r="H839" s="38"/>
      <c r="I839" s="38"/>
      <c r="J839" s="38"/>
      <c r="K839" s="38"/>
    </row>
    <row r="840">
      <c r="B840" s="37"/>
      <c r="C840" s="37"/>
      <c r="D840" s="37"/>
      <c r="E840" s="38"/>
      <c r="F840" s="38"/>
      <c r="G840" s="38"/>
      <c r="H840" s="38"/>
      <c r="I840" s="38"/>
      <c r="J840" s="38"/>
      <c r="K840" s="38"/>
    </row>
    <row r="841">
      <c r="B841" s="37"/>
      <c r="C841" s="37"/>
      <c r="D841" s="37"/>
      <c r="E841" s="38"/>
      <c r="F841" s="38"/>
      <c r="G841" s="38"/>
      <c r="H841" s="38"/>
      <c r="I841" s="38"/>
      <c r="J841" s="38"/>
      <c r="K841" s="38"/>
    </row>
    <row r="842">
      <c r="B842" s="37"/>
      <c r="C842" s="37"/>
      <c r="D842" s="37"/>
      <c r="E842" s="38"/>
      <c r="F842" s="38"/>
      <c r="G842" s="38"/>
      <c r="H842" s="38"/>
      <c r="I842" s="38"/>
      <c r="J842" s="38"/>
      <c r="K842" s="38"/>
    </row>
    <row r="843">
      <c r="B843" s="37"/>
      <c r="C843" s="37"/>
      <c r="D843" s="37"/>
      <c r="E843" s="38"/>
      <c r="F843" s="38"/>
      <c r="G843" s="38"/>
      <c r="H843" s="38"/>
      <c r="I843" s="38"/>
      <c r="J843" s="38"/>
      <c r="K843" s="38"/>
    </row>
    <row r="844">
      <c r="B844" s="37"/>
      <c r="C844" s="37"/>
      <c r="D844" s="37"/>
      <c r="E844" s="38"/>
      <c r="F844" s="38"/>
      <c r="G844" s="38"/>
      <c r="H844" s="38"/>
      <c r="I844" s="38"/>
      <c r="J844" s="38"/>
      <c r="K844" s="38"/>
    </row>
    <row r="845">
      <c r="B845" s="37"/>
      <c r="C845" s="37"/>
      <c r="D845" s="37"/>
      <c r="E845" s="38"/>
      <c r="F845" s="38"/>
      <c r="G845" s="38"/>
      <c r="H845" s="38"/>
      <c r="I845" s="38"/>
      <c r="J845" s="38"/>
      <c r="K845" s="38"/>
    </row>
    <row r="846">
      <c r="B846" s="37"/>
      <c r="C846" s="37"/>
      <c r="D846" s="37"/>
      <c r="E846" s="38"/>
      <c r="F846" s="38"/>
      <c r="G846" s="38"/>
      <c r="H846" s="38"/>
      <c r="I846" s="38"/>
      <c r="J846" s="38"/>
      <c r="K846" s="38"/>
    </row>
    <row r="847">
      <c r="B847" s="37"/>
      <c r="C847" s="37"/>
      <c r="D847" s="37"/>
      <c r="E847" s="38"/>
      <c r="F847" s="38"/>
      <c r="G847" s="38"/>
      <c r="H847" s="38"/>
      <c r="I847" s="38"/>
      <c r="J847" s="38"/>
      <c r="K847" s="38"/>
    </row>
    <row r="848">
      <c r="B848" s="37"/>
      <c r="C848" s="37"/>
      <c r="D848" s="37"/>
      <c r="E848" s="38"/>
      <c r="F848" s="38"/>
      <c r="G848" s="38"/>
      <c r="H848" s="38"/>
      <c r="I848" s="38"/>
      <c r="J848" s="38"/>
      <c r="K848" s="38"/>
    </row>
    <row r="849">
      <c r="B849" s="37"/>
      <c r="C849" s="37"/>
      <c r="D849" s="37"/>
      <c r="E849" s="38"/>
      <c r="F849" s="38"/>
      <c r="G849" s="38"/>
      <c r="H849" s="38"/>
      <c r="I849" s="38"/>
      <c r="J849" s="38"/>
      <c r="K849" s="38"/>
    </row>
    <row r="850">
      <c r="B850" s="37"/>
      <c r="C850" s="37"/>
      <c r="D850" s="37"/>
      <c r="E850" s="38"/>
      <c r="F850" s="38"/>
      <c r="G850" s="38"/>
      <c r="H850" s="38"/>
      <c r="I850" s="38"/>
      <c r="J850" s="38"/>
      <c r="K850" s="38"/>
    </row>
    <row r="851">
      <c r="B851" s="37"/>
      <c r="C851" s="37"/>
      <c r="D851" s="37"/>
      <c r="E851" s="38"/>
      <c r="F851" s="38"/>
      <c r="G851" s="38"/>
      <c r="H851" s="38"/>
      <c r="I851" s="38"/>
      <c r="J851" s="38"/>
      <c r="K851" s="38"/>
    </row>
    <row r="852">
      <c r="B852" s="37"/>
      <c r="C852" s="37"/>
      <c r="D852" s="37"/>
      <c r="E852" s="38"/>
      <c r="F852" s="38"/>
      <c r="G852" s="38"/>
      <c r="H852" s="38"/>
      <c r="I852" s="38"/>
      <c r="J852" s="38"/>
      <c r="K852" s="38"/>
    </row>
    <row r="853">
      <c r="B853" s="37"/>
      <c r="C853" s="37"/>
      <c r="D853" s="37"/>
      <c r="E853" s="38"/>
      <c r="F853" s="38"/>
      <c r="G853" s="38"/>
      <c r="H853" s="38"/>
      <c r="I853" s="38"/>
      <c r="J853" s="38"/>
      <c r="K853" s="38"/>
    </row>
    <row r="854">
      <c r="B854" s="37"/>
      <c r="C854" s="37"/>
      <c r="D854" s="37"/>
      <c r="E854" s="38"/>
      <c r="F854" s="38"/>
      <c r="G854" s="38"/>
      <c r="H854" s="38"/>
      <c r="I854" s="38"/>
      <c r="J854" s="38"/>
      <c r="K854" s="38"/>
    </row>
    <row r="855">
      <c r="B855" s="37"/>
      <c r="C855" s="37"/>
      <c r="D855" s="37"/>
      <c r="E855" s="38"/>
      <c r="F855" s="38"/>
      <c r="G855" s="38"/>
      <c r="H855" s="38"/>
      <c r="I855" s="38"/>
      <c r="J855" s="38"/>
      <c r="K855" s="38"/>
    </row>
    <row r="856">
      <c r="B856" s="37"/>
      <c r="C856" s="37"/>
      <c r="D856" s="37"/>
      <c r="E856" s="38"/>
      <c r="F856" s="38"/>
      <c r="G856" s="38"/>
      <c r="H856" s="38"/>
      <c r="I856" s="38"/>
      <c r="J856" s="38"/>
      <c r="K856" s="38"/>
    </row>
    <row r="857">
      <c r="B857" s="37"/>
      <c r="C857" s="37"/>
      <c r="D857" s="37"/>
      <c r="E857" s="38"/>
      <c r="F857" s="38"/>
      <c r="G857" s="38"/>
      <c r="H857" s="38"/>
      <c r="I857" s="38"/>
      <c r="J857" s="38"/>
      <c r="K857" s="38"/>
    </row>
    <row r="858">
      <c r="B858" s="37"/>
      <c r="C858" s="37"/>
      <c r="D858" s="37"/>
      <c r="E858" s="38"/>
      <c r="F858" s="38"/>
      <c r="G858" s="38"/>
      <c r="H858" s="38"/>
      <c r="I858" s="38"/>
      <c r="J858" s="38"/>
      <c r="K858" s="38"/>
    </row>
    <row r="859">
      <c r="B859" s="37"/>
      <c r="C859" s="37"/>
      <c r="D859" s="37"/>
      <c r="E859" s="38"/>
      <c r="F859" s="38"/>
      <c r="G859" s="38"/>
      <c r="H859" s="38"/>
      <c r="I859" s="38"/>
      <c r="J859" s="38"/>
      <c r="K859" s="38"/>
    </row>
    <row r="860">
      <c r="B860" s="37"/>
      <c r="C860" s="37"/>
      <c r="D860" s="37"/>
      <c r="E860" s="38"/>
      <c r="F860" s="38"/>
      <c r="G860" s="38"/>
      <c r="H860" s="38"/>
      <c r="I860" s="38"/>
      <c r="J860" s="38"/>
      <c r="K860" s="38"/>
    </row>
    <row r="861">
      <c r="B861" s="37"/>
      <c r="C861" s="37"/>
      <c r="D861" s="37"/>
      <c r="E861" s="38"/>
      <c r="F861" s="38"/>
      <c r="G861" s="38"/>
      <c r="H861" s="38"/>
      <c r="I861" s="38"/>
      <c r="J861" s="38"/>
      <c r="K861" s="38"/>
    </row>
    <row r="862">
      <c r="B862" s="37"/>
      <c r="C862" s="37"/>
      <c r="D862" s="37"/>
      <c r="E862" s="38"/>
      <c r="F862" s="38"/>
      <c r="G862" s="38"/>
      <c r="H862" s="38"/>
      <c r="I862" s="38"/>
      <c r="J862" s="38"/>
      <c r="K862" s="38"/>
    </row>
    <row r="863">
      <c r="B863" s="37"/>
      <c r="C863" s="37"/>
      <c r="D863" s="37"/>
      <c r="E863" s="38"/>
      <c r="F863" s="38"/>
      <c r="G863" s="38"/>
      <c r="H863" s="38"/>
      <c r="I863" s="38"/>
      <c r="J863" s="38"/>
      <c r="K863" s="38"/>
    </row>
    <row r="864">
      <c r="B864" s="37"/>
      <c r="C864" s="37"/>
      <c r="D864" s="37"/>
      <c r="E864" s="38"/>
      <c r="F864" s="38"/>
      <c r="G864" s="38"/>
      <c r="H864" s="38"/>
      <c r="I864" s="38"/>
      <c r="J864" s="38"/>
      <c r="K864" s="38"/>
    </row>
    <row r="865">
      <c r="B865" s="37"/>
      <c r="C865" s="37"/>
      <c r="D865" s="37"/>
      <c r="E865" s="38"/>
      <c r="F865" s="38"/>
      <c r="G865" s="38"/>
      <c r="H865" s="38"/>
      <c r="I865" s="38"/>
      <c r="J865" s="38"/>
      <c r="K865" s="38"/>
    </row>
    <row r="866">
      <c r="B866" s="37"/>
      <c r="C866" s="37"/>
      <c r="D866" s="37"/>
      <c r="E866" s="38"/>
      <c r="F866" s="38"/>
      <c r="G866" s="38"/>
      <c r="H866" s="38"/>
      <c r="I866" s="38"/>
      <c r="J866" s="38"/>
      <c r="K866" s="38"/>
    </row>
    <row r="867">
      <c r="B867" s="37"/>
      <c r="C867" s="37"/>
      <c r="D867" s="37"/>
      <c r="E867" s="38"/>
      <c r="F867" s="38"/>
      <c r="G867" s="38"/>
      <c r="H867" s="38"/>
      <c r="I867" s="38"/>
      <c r="J867" s="38"/>
      <c r="K867" s="38"/>
    </row>
    <row r="868">
      <c r="B868" s="37"/>
      <c r="C868" s="37"/>
      <c r="D868" s="37"/>
      <c r="E868" s="38"/>
      <c r="F868" s="38"/>
      <c r="G868" s="38"/>
      <c r="H868" s="38"/>
      <c r="I868" s="38"/>
      <c r="J868" s="38"/>
      <c r="K868" s="38"/>
    </row>
    <row r="869">
      <c r="B869" s="37"/>
      <c r="C869" s="37"/>
      <c r="D869" s="37"/>
      <c r="E869" s="38"/>
      <c r="F869" s="38"/>
      <c r="G869" s="38"/>
      <c r="H869" s="38"/>
      <c r="I869" s="38"/>
      <c r="J869" s="38"/>
      <c r="K869" s="38"/>
    </row>
    <row r="870">
      <c r="B870" s="37"/>
      <c r="C870" s="37"/>
      <c r="D870" s="37"/>
      <c r="E870" s="38"/>
      <c r="F870" s="38"/>
      <c r="G870" s="38"/>
      <c r="H870" s="38"/>
      <c r="I870" s="38"/>
      <c r="J870" s="38"/>
      <c r="K870" s="38"/>
    </row>
    <row r="871">
      <c r="B871" s="37"/>
      <c r="C871" s="37"/>
      <c r="D871" s="37"/>
      <c r="E871" s="38"/>
      <c r="F871" s="38"/>
      <c r="G871" s="38"/>
      <c r="H871" s="38"/>
      <c r="I871" s="38"/>
      <c r="J871" s="38"/>
      <c r="K871" s="38"/>
    </row>
    <row r="872">
      <c r="B872" s="37"/>
      <c r="C872" s="37"/>
      <c r="D872" s="37"/>
      <c r="E872" s="38"/>
      <c r="F872" s="38"/>
      <c r="G872" s="38"/>
      <c r="H872" s="38"/>
      <c r="I872" s="38"/>
      <c r="J872" s="38"/>
      <c r="K872" s="38"/>
    </row>
    <row r="873">
      <c r="B873" s="37"/>
      <c r="C873" s="37"/>
      <c r="D873" s="37"/>
      <c r="E873" s="38"/>
      <c r="F873" s="38"/>
      <c r="G873" s="38"/>
      <c r="H873" s="38"/>
      <c r="I873" s="38"/>
      <c r="J873" s="38"/>
      <c r="K873" s="38"/>
    </row>
    <row r="874">
      <c r="B874" s="37"/>
      <c r="C874" s="37"/>
      <c r="D874" s="37"/>
      <c r="E874" s="38"/>
      <c r="F874" s="38"/>
      <c r="G874" s="38"/>
      <c r="H874" s="38"/>
      <c r="I874" s="38"/>
      <c r="J874" s="38"/>
      <c r="K874" s="38"/>
    </row>
    <row r="875">
      <c r="B875" s="37"/>
      <c r="C875" s="37"/>
      <c r="D875" s="37"/>
      <c r="E875" s="38"/>
      <c r="F875" s="38"/>
      <c r="G875" s="38"/>
      <c r="H875" s="38"/>
      <c r="I875" s="38"/>
      <c r="J875" s="38"/>
      <c r="K875" s="38"/>
    </row>
    <row r="876">
      <c r="B876" s="37"/>
      <c r="C876" s="37"/>
      <c r="D876" s="37"/>
      <c r="E876" s="38"/>
      <c r="F876" s="38"/>
      <c r="G876" s="38"/>
      <c r="H876" s="38"/>
      <c r="I876" s="38"/>
      <c r="J876" s="38"/>
      <c r="K876" s="38"/>
    </row>
    <row r="877">
      <c r="B877" s="37"/>
      <c r="C877" s="37"/>
      <c r="D877" s="37"/>
      <c r="E877" s="38"/>
      <c r="F877" s="38"/>
      <c r="G877" s="38"/>
      <c r="H877" s="38"/>
      <c r="I877" s="38"/>
      <c r="J877" s="38"/>
      <c r="K877" s="38"/>
    </row>
    <row r="878">
      <c r="B878" s="37"/>
      <c r="C878" s="37"/>
      <c r="D878" s="37"/>
      <c r="E878" s="38"/>
      <c r="F878" s="38"/>
      <c r="G878" s="38"/>
      <c r="H878" s="38"/>
      <c r="I878" s="38"/>
      <c r="J878" s="38"/>
      <c r="K878" s="38"/>
    </row>
    <row r="879">
      <c r="B879" s="37"/>
      <c r="C879" s="37"/>
      <c r="D879" s="37"/>
      <c r="E879" s="38"/>
      <c r="F879" s="38"/>
      <c r="G879" s="38"/>
      <c r="H879" s="38"/>
      <c r="I879" s="38"/>
      <c r="J879" s="38"/>
      <c r="K879" s="38"/>
    </row>
    <row r="880">
      <c r="B880" s="37"/>
      <c r="C880" s="37"/>
      <c r="D880" s="37"/>
      <c r="E880" s="38"/>
      <c r="F880" s="38"/>
      <c r="G880" s="38"/>
      <c r="H880" s="38"/>
      <c r="I880" s="38"/>
      <c r="J880" s="38"/>
      <c r="K880" s="38"/>
    </row>
    <row r="881">
      <c r="B881" s="37"/>
      <c r="C881" s="37"/>
      <c r="D881" s="37"/>
      <c r="E881" s="38"/>
      <c r="F881" s="38"/>
      <c r="G881" s="38"/>
      <c r="H881" s="38"/>
      <c r="I881" s="38"/>
      <c r="J881" s="38"/>
      <c r="K881" s="38"/>
    </row>
    <row r="882">
      <c r="B882" s="37"/>
      <c r="C882" s="37"/>
      <c r="D882" s="37"/>
      <c r="E882" s="38"/>
      <c r="F882" s="38"/>
      <c r="G882" s="38"/>
      <c r="H882" s="38"/>
      <c r="I882" s="38"/>
      <c r="J882" s="38"/>
      <c r="K882" s="38"/>
    </row>
    <row r="883">
      <c r="B883" s="37"/>
      <c r="C883" s="37"/>
      <c r="D883" s="37"/>
      <c r="E883" s="38"/>
      <c r="F883" s="38"/>
      <c r="G883" s="38"/>
      <c r="H883" s="38"/>
      <c r="I883" s="38"/>
      <c r="J883" s="38"/>
      <c r="K883" s="38"/>
    </row>
    <row r="884">
      <c r="B884" s="37"/>
      <c r="C884" s="37"/>
      <c r="D884" s="37"/>
      <c r="E884" s="38"/>
      <c r="F884" s="38"/>
      <c r="G884" s="38"/>
      <c r="H884" s="38"/>
      <c r="I884" s="38"/>
      <c r="J884" s="38"/>
      <c r="K884" s="38"/>
    </row>
    <row r="885">
      <c r="B885" s="37"/>
      <c r="C885" s="37"/>
      <c r="D885" s="37"/>
      <c r="E885" s="38"/>
      <c r="F885" s="38"/>
      <c r="G885" s="38"/>
      <c r="H885" s="38"/>
      <c r="I885" s="38"/>
      <c r="J885" s="38"/>
      <c r="K885" s="38"/>
    </row>
    <row r="886">
      <c r="B886" s="37"/>
      <c r="C886" s="37"/>
      <c r="D886" s="37"/>
      <c r="E886" s="38"/>
      <c r="F886" s="38"/>
      <c r="G886" s="38"/>
      <c r="H886" s="38"/>
      <c r="I886" s="38"/>
      <c r="J886" s="38"/>
      <c r="K886" s="38"/>
    </row>
    <row r="887">
      <c r="B887" s="37"/>
      <c r="C887" s="37"/>
      <c r="D887" s="37"/>
      <c r="E887" s="38"/>
      <c r="F887" s="38"/>
      <c r="G887" s="38"/>
      <c r="H887" s="38"/>
      <c r="I887" s="38"/>
      <c r="J887" s="38"/>
      <c r="K887" s="38"/>
    </row>
    <row r="888">
      <c r="B888" s="37"/>
      <c r="C888" s="37"/>
      <c r="D888" s="37"/>
      <c r="E888" s="38"/>
      <c r="F888" s="38"/>
      <c r="G888" s="38"/>
      <c r="H888" s="38"/>
      <c r="I888" s="38"/>
      <c r="J888" s="38"/>
      <c r="K888" s="38"/>
    </row>
    <row r="889">
      <c r="B889" s="37"/>
      <c r="C889" s="37"/>
      <c r="D889" s="37"/>
      <c r="E889" s="38"/>
      <c r="F889" s="38"/>
      <c r="G889" s="38"/>
      <c r="H889" s="38"/>
      <c r="I889" s="38"/>
      <c r="J889" s="38"/>
      <c r="K889" s="38"/>
    </row>
    <row r="890">
      <c r="B890" s="37"/>
      <c r="C890" s="37"/>
      <c r="D890" s="37"/>
      <c r="E890" s="38"/>
      <c r="F890" s="38"/>
      <c r="G890" s="38"/>
      <c r="H890" s="38"/>
      <c r="I890" s="38"/>
      <c r="J890" s="38"/>
      <c r="K890" s="38"/>
    </row>
    <row r="891">
      <c r="B891" s="37"/>
      <c r="C891" s="37"/>
      <c r="D891" s="37"/>
      <c r="E891" s="38"/>
      <c r="F891" s="38"/>
      <c r="G891" s="38"/>
      <c r="H891" s="38"/>
      <c r="I891" s="38"/>
      <c r="J891" s="38"/>
      <c r="K891" s="38"/>
    </row>
    <row r="892">
      <c r="B892" s="37"/>
      <c r="C892" s="37"/>
      <c r="D892" s="37"/>
      <c r="E892" s="38"/>
      <c r="F892" s="38"/>
      <c r="G892" s="38"/>
      <c r="H892" s="38"/>
      <c r="I892" s="38"/>
      <c r="J892" s="38"/>
      <c r="K892" s="38"/>
    </row>
    <row r="893">
      <c r="B893" s="37"/>
      <c r="C893" s="37"/>
      <c r="D893" s="37"/>
      <c r="E893" s="38"/>
      <c r="F893" s="38"/>
      <c r="G893" s="38"/>
      <c r="H893" s="38"/>
      <c r="I893" s="38"/>
      <c r="J893" s="38"/>
      <c r="K893" s="38"/>
    </row>
    <row r="894">
      <c r="B894" s="37"/>
      <c r="C894" s="37"/>
      <c r="D894" s="37"/>
      <c r="E894" s="38"/>
      <c r="F894" s="38"/>
      <c r="G894" s="38"/>
      <c r="H894" s="38"/>
      <c r="I894" s="38"/>
      <c r="J894" s="38"/>
      <c r="K894" s="38"/>
    </row>
    <row r="895">
      <c r="B895" s="37"/>
      <c r="C895" s="37"/>
      <c r="D895" s="37"/>
      <c r="E895" s="38"/>
      <c r="F895" s="38"/>
      <c r="G895" s="38"/>
      <c r="H895" s="38"/>
      <c r="I895" s="38"/>
      <c r="J895" s="38"/>
      <c r="K895" s="38"/>
    </row>
    <row r="896">
      <c r="B896" s="37"/>
      <c r="C896" s="37"/>
      <c r="D896" s="37"/>
      <c r="E896" s="38"/>
      <c r="F896" s="38"/>
      <c r="G896" s="38"/>
      <c r="H896" s="38"/>
      <c r="I896" s="38"/>
      <c r="J896" s="38"/>
      <c r="K896" s="38"/>
    </row>
    <row r="897">
      <c r="B897" s="37"/>
      <c r="C897" s="37"/>
      <c r="D897" s="37"/>
      <c r="E897" s="38"/>
      <c r="F897" s="38"/>
      <c r="G897" s="38"/>
      <c r="H897" s="38"/>
      <c r="I897" s="38"/>
      <c r="J897" s="38"/>
      <c r="K897" s="38"/>
    </row>
    <row r="898">
      <c r="B898" s="37"/>
      <c r="C898" s="37"/>
      <c r="D898" s="37"/>
      <c r="E898" s="38"/>
      <c r="F898" s="38"/>
      <c r="G898" s="38"/>
      <c r="H898" s="38"/>
      <c r="I898" s="38"/>
      <c r="J898" s="38"/>
      <c r="K898" s="38"/>
    </row>
    <row r="899">
      <c r="B899" s="37"/>
      <c r="C899" s="37"/>
      <c r="D899" s="37"/>
      <c r="E899" s="38"/>
      <c r="F899" s="38"/>
      <c r="G899" s="38"/>
      <c r="H899" s="38"/>
      <c r="I899" s="38"/>
      <c r="J899" s="38"/>
      <c r="K899" s="38"/>
    </row>
    <row r="900">
      <c r="B900" s="37"/>
      <c r="C900" s="37"/>
      <c r="D900" s="37"/>
      <c r="E900" s="38"/>
      <c r="F900" s="38"/>
      <c r="G900" s="38"/>
      <c r="H900" s="38"/>
      <c r="I900" s="38"/>
      <c r="J900" s="38"/>
      <c r="K900" s="38"/>
    </row>
    <row r="901">
      <c r="B901" s="37"/>
      <c r="C901" s="37"/>
      <c r="D901" s="37"/>
      <c r="E901" s="38"/>
      <c r="F901" s="38"/>
      <c r="G901" s="38"/>
      <c r="H901" s="38"/>
      <c r="I901" s="38"/>
      <c r="J901" s="38"/>
      <c r="K901" s="38"/>
    </row>
    <row r="902">
      <c r="B902" s="37"/>
      <c r="C902" s="37"/>
      <c r="D902" s="37"/>
      <c r="E902" s="38"/>
      <c r="F902" s="38"/>
      <c r="G902" s="38"/>
      <c r="H902" s="38"/>
      <c r="I902" s="38"/>
      <c r="J902" s="38"/>
      <c r="K902" s="38"/>
    </row>
    <row r="903">
      <c r="B903" s="37"/>
      <c r="C903" s="37"/>
      <c r="D903" s="37"/>
      <c r="E903" s="38"/>
      <c r="F903" s="38"/>
      <c r="G903" s="38"/>
      <c r="H903" s="38"/>
      <c r="I903" s="38"/>
      <c r="J903" s="38"/>
      <c r="K903" s="38"/>
    </row>
    <row r="904">
      <c r="B904" s="37"/>
      <c r="C904" s="37"/>
      <c r="D904" s="37"/>
      <c r="E904" s="38"/>
      <c r="F904" s="38"/>
      <c r="G904" s="38"/>
      <c r="H904" s="38"/>
      <c r="I904" s="38"/>
      <c r="J904" s="38"/>
      <c r="K904" s="38"/>
    </row>
    <row r="905">
      <c r="B905" s="37"/>
      <c r="C905" s="37"/>
      <c r="D905" s="37"/>
      <c r="E905" s="38"/>
      <c r="F905" s="38"/>
      <c r="G905" s="38"/>
      <c r="H905" s="38"/>
      <c r="I905" s="38"/>
      <c r="J905" s="38"/>
      <c r="K905" s="38"/>
    </row>
    <row r="906">
      <c r="B906" s="37"/>
      <c r="C906" s="37"/>
      <c r="D906" s="37"/>
      <c r="E906" s="38"/>
      <c r="F906" s="38"/>
      <c r="G906" s="38"/>
      <c r="H906" s="38"/>
      <c r="I906" s="38"/>
      <c r="J906" s="38"/>
      <c r="K906" s="38"/>
    </row>
    <row r="907">
      <c r="B907" s="37"/>
      <c r="C907" s="37"/>
      <c r="D907" s="37"/>
      <c r="E907" s="38"/>
      <c r="F907" s="38"/>
      <c r="G907" s="38"/>
      <c r="H907" s="38"/>
      <c r="I907" s="38"/>
      <c r="J907" s="38"/>
      <c r="K907" s="38"/>
    </row>
    <row r="908">
      <c r="B908" s="37"/>
      <c r="C908" s="37"/>
      <c r="D908" s="37"/>
      <c r="E908" s="38"/>
      <c r="F908" s="38"/>
      <c r="G908" s="38"/>
      <c r="H908" s="38"/>
      <c r="I908" s="38"/>
      <c r="J908" s="38"/>
      <c r="K908" s="38"/>
    </row>
    <row r="909">
      <c r="B909" s="37"/>
      <c r="C909" s="37"/>
      <c r="D909" s="37"/>
      <c r="E909" s="38"/>
      <c r="F909" s="38"/>
      <c r="G909" s="38"/>
      <c r="H909" s="38"/>
      <c r="I909" s="38"/>
      <c r="J909" s="38"/>
      <c r="K909" s="38"/>
    </row>
    <row r="910">
      <c r="B910" s="37"/>
      <c r="C910" s="37"/>
      <c r="D910" s="37"/>
      <c r="E910" s="38"/>
      <c r="F910" s="38"/>
      <c r="G910" s="38"/>
      <c r="H910" s="38"/>
      <c r="I910" s="38"/>
      <c r="J910" s="38"/>
      <c r="K910" s="38"/>
    </row>
    <row r="911">
      <c r="B911" s="37"/>
      <c r="C911" s="37"/>
      <c r="D911" s="37"/>
      <c r="E911" s="38"/>
      <c r="F911" s="38"/>
      <c r="G911" s="38"/>
      <c r="H911" s="38"/>
      <c r="I911" s="38"/>
      <c r="J911" s="38"/>
      <c r="K911" s="38"/>
    </row>
    <row r="912">
      <c r="B912" s="37"/>
      <c r="C912" s="37"/>
      <c r="D912" s="37"/>
      <c r="E912" s="38"/>
      <c r="F912" s="38"/>
      <c r="G912" s="38"/>
      <c r="H912" s="38"/>
      <c r="I912" s="38"/>
      <c r="J912" s="38"/>
      <c r="K912" s="38"/>
    </row>
    <row r="913">
      <c r="B913" s="37"/>
      <c r="C913" s="37"/>
      <c r="D913" s="37"/>
      <c r="E913" s="38"/>
      <c r="F913" s="38"/>
      <c r="G913" s="38"/>
      <c r="H913" s="38"/>
      <c r="I913" s="38"/>
      <c r="J913" s="38"/>
      <c r="K913" s="38"/>
    </row>
    <row r="914">
      <c r="B914" s="37"/>
      <c r="C914" s="37"/>
      <c r="D914" s="37"/>
      <c r="E914" s="38"/>
      <c r="F914" s="38"/>
      <c r="G914" s="38"/>
      <c r="H914" s="38"/>
      <c r="I914" s="38"/>
      <c r="J914" s="38"/>
      <c r="K914" s="38"/>
    </row>
    <row r="915">
      <c r="B915" s="37"/>
      <c r="C915" s="37"/>
      <c r="D915" s="37"/>
      <c r="E915" s="38"/>
      <c r="F915" s="38"/>
      <c r="G915" s="38"/>
      <c r="H915" s="38"/>
      <c r="I915" s="38"/>
      <c r="J915" s="38"/>
      <c r="K915" s="38"/>
    </row>
    <row r="916">
      <c r="B916" s="37"/>
      <c r="C916" s="37"/>
      <c r="D916" s="37"/>
      <c r="E916" s="38"/>
      <c r="F916" s="38"/>
      <c r="G916" s="38"/>
      <c r="H916" s="38"/>
      <c r="I916" s="38"/>
      <c r="J916" s="38"/>
      <c r="K916" s="38"/>
    </row>
    <row r="917">
      <c r="B917" s="37"/>
      <c r="C917" s="37"/>
      <c r="D917" s="37"/>
      <c r="E917" s="38"/>
      <c r="F917" s="38"/>
      <c r="G917" s="38"/>
      <c r="H917" s="38"/>
      <c r="I917" s="38"/>
      <c r="J917" s="38"/>
      <c r="K917" s="38"/>
    </row>
    <row r="918">
      <c r="B918" s="37"/>
      <c r="C918" s="37"/>
      <c r="D918" s="37"/>
      <c r="E918" s="38"/>
      <c r="F918" s="38"/>
      <c r="G918" s="38"/>
      <c r="H918" s="38"/>
      <c r="I918" s="38"/>
      <c r="J918" s="38"/>
      <c r="K918" s="38"/>
    </row>
    <row r="919">
      <c r="B919" s="37"/>
      <c r="C919" s="37"/>
      <c r="D919" s="37"/>
      <c r="E919" s="38"/>
      <c r="F919" s="38"/>
      <c r="G919" s="38"/>
      <c r="H919" s="38"/>
      <c r="I919" s="38"/>
      <c r="J919" s="38"/>
      <c r="K919" s="38"/>
    </row>
    <row r="920">
      <c r="B920" s="37"/>
      <c r="C920" s="37"/>
      <c r="D920" s="37"/>
      <c r="E920" s="38"/>
      <c r="F920" s="38"/>
      <c r="G920" s="38"/>
      <c r="H920" s="38"/>
      <c r="I920" s="38"/>
      <c r="J920" s="38"/>
      <c r="K920" s="38"/>
    </row>
    <row r="921">
      <c r="B921" s="37"/>
      <c r="C921" s="37"/>
      <c r="D921" s="37"/>
      <c r="E921" s="38"/>
      <c r="F921" s="38"/>
      <c r="G921" s="38"/>
      <c r="H921" s="38"/>
      <c r="I921" s="38"/>
      <c r="J921" s="38"/>
      <c r="K921" s="38"/>
    </row>
    <row r="922">
      <c r="B922" s="37"/>
      <c r="C922" s="37"/>
      <c r="D922" s="37"/>
      <c r="E922" s="38"/>
      <c r="F922" s="38"/>
      <c r="G922" s="38"/>
      <c r="H922" s="38"/>
      <c r="I922" s="38"/>
      <c r="J922" s="38"/>
      <c r="K922" s="38"/>
    </row>
    <row r="923">
      <c r="B923" s="37"/>
      <c r="C923" s="37"/>
      <c r="D923" s="37"/>
      <c r="E923" s="38"/>
      <c r="F923" s="38"/>
      <c r="G923" s="38"/>
      <c r="H923" s="38"/>
      <c r="I923" s="38"/>
      <c r="J923" s="38"/>
      <c r="K923" s="38"/>
    </row>
    <row r="924">
      <c r="B924" s="37"/>
      <c r="C924" s="37"/>
      <c r="D924" s="37"/>
      <c r="E924" s="38"/>
      <c r="F924" s="38"/>
      <c r="G924" s="38"/>
      <c r="H924" s="38"/>
      <c r="I924" s="38"/>
      <c r="J924" s="38"/>
      <c r="K924" s="38"/>
    </row>
    <row r="925">
      <c r="B925" s="37"/>
      <c r="C925" s="37"/>
      <c r="D925" s="37"/>
      <c r="E925" s="38"/>
      <c r="F925" s="38"/>
      <c r="G925" s="38"/>
      <c r="H925" s="38"/>
      <c r="I925" s="38"/>
      <c r="J925" s="38"/>
      <c r="K925" s="38"/>
    </row>
    <row r="926">
      <c r="B926" s="37"/>
      <c r="C926" s="37"/>
      <c r="D926" s="37"/>
      <c r="E926" s="38"/>
      <c r="F926" s="38"/>
      <c r="G926" s="38"/>
      <c r="H926" s="38"/>
      <c r="I926" s="38"/>
      <c r="J926" s="38"/>
      <c r="K926" s="38"/>
    </row>
    <row r="927">
      <c r="B927" s="37"/>
      <c r="C927" s="37"/>
      <c r="D927" s="37"/>
      <c r="E927" s="38"/>
      <c r="F927" s="38"/>
      <c r="G927" s="38"/>
      <c r="H927" s="38"/>
      <c r="I927" s="38"/>
      <c r="J927" s="38"/>
      <c r="K927" s="38"/>
    </row>
    <row r="928">
      <c r="B928" s="37"/>
      <c r="C928" s="37"/>
      <c r="D928" s="37"/>
      <c r="E928" s="38"/>
      <c r="F928" s="38"/>
      <c r="G928" s="38"/>
      <c r="H928" s="38"/>
      <c r="I928" s="38"/>
      <c r="J928" s="38"/>
      <c r="K928" s="38"/>
    </row>
    <row r="929">
      <c r="B929" s="37"/>
      <c r="C929" s="37"/>
      <c r="D929" s="37"/>
      <c r="E929" s="38"/>
      <c r="F929" s="38"/>
      <c r="G929" s="38"/>
      <c r="H929" s="38"/>
      <c r="I929" s="38"/>
      <c r="J929" s="38"/>
      <c r="K929" s="38"/>
    </row>
    <row r="930">
      <c r="B930" s="37"/>
      <c r="C930" s="37"/>
      <c r="D930" s="37"/>
      <c r="E930" s="38"/>
      <c r="F930" s="38"/>
      <c r="G930" s="38"/>
      <c r="H930" s="38"/>
      <c r="I930" s="38"/>
      <c r="J930" s="38"/>
      <c r="K930" s="38"/>
    </row>
    <row r="931">
      <c r="B931" s="37"/>
      <c r="C931" s="37"/>
      <c r="D931" s="37"/>
      <c r="E931" s="38"/>
      <c r="F931" s="38"/>
      <c r="G931" s="38"/>
      <c r="H931" s="38"/>
      <c r="I931" s="38"/>
      <c r="J931" s="38"/>
      <c r="K931" s="38"/>
    </row>
    <row r="932">
      <c r="B932" s="37"/>
      <c r="C932" s="37"/>
      <c r="D932" s="37"/>
      <c r="E932" s="38"/>
      <c r="F932" s="38"/>
      <c r="G932" s="38"/>
      <c r="H932" s="38"/>
      <c r="I932" s="38"/>
      <c r="J932" s="38"/>
      <c r="K932" s="38"/>
    </row>
    <row r="933">
      <c r="B933" s="37"/>
      <c r="C933" s="37"/>
      <c r="D933" s="37"/>
      <c r="E933" s="38"/>
      <c r="F933" s="38"/>
      <c r="G933" s="38"/>
      <c r="H933" s="38"/>
      <c r="I933" s="38"/>
      <c r="J933" s="38"/>
      <c r="K933" s="38"/>
    </row>
    <row r="934">
      <c r="B934" s="37"/>
      <c r="C934" s="37"/>
      <c r="D934" s="37"/>
      <c r="E934" s="38"/>
      <c r="F934" s="38"/>
      <c r="G934" s="38"/>
      <c r="H934" s="38"/>
      <c r="I934" s="38"/>
      <c r="J934" s="38"/>
      <c r="K934" s="38"/>
    </row>
    <row r="935">
      <c r="B935" s="37"/>
      <c r="C935" s="37"/>
      <c r="D935" s="37"/>
      <c r="E935" s="38"/>
      <c r="F935" s="38"/>
      <c r="G935" s="38"/>
      <c r="H935" s="38"/>
      <c r="I935" s="38"/>
      <c r="J935" s="38"/>
      <c r="K935" s="38"/>
    </row>
    <row r="936">
      <c r="B936" s="37"/>
      <c r="C936" s="37"/>
      <c r="D936" s="37"/>
      <c r="E936" s="38"/>
      <c r="F936" s="38"/>
      <c r="G936" s="38"/>
      <c r="H936" s="38"/>
      <c r="I936" s="38"/>
      <c r="J936" s="38"/>
      <c r="K936" s="38"/>
    </row>
    <row r="937">
      <c r="B937" s="37"/>
      <c r="C937" s="37"/>
      <c r="D937" s="37"/>
      <c r="E937" s="38"/>
      <c r="F937" s="38"/>
      <c r="G937" s="38"/>
      <c r="H937" s="38"/>
      <c r="I937" s="38"/>
      <c r="J937" s="38"/>
      <c r="K937" s="38"/>
    </row>
    <row r="938">
      <c r="B938" s="37"/>
      <c r="C938" s="37"/>
      <c r="D938" s="37"/>
      <c r="E938" s="38"/>
      <c r="F938" s="38"/>
      <c r="G938" s="38"/>
      <c r="H938" s="38"/>
      <c r="I938" s="38"/>
      <c r="J938" s="38"/>
      <c r="K938" s="38"/>
    </row>
    <row r="939">
      <c r="B939" s="37"/>
      <c r="C939" s="37"/>
      <c r="D939" s="37"/>
      <c r="E939" s="38"/>
      <c r="F939" s="38"/>
      <c r="G939" s="38"/>
      <c r="H939" s="38"/>
      <c r="I939" s="38"/>
      <c r="J939" s="38"/>
      <c r="K939" s="38"/>
    </row>
    <row r="940">
      <c r="B940" s="37"/>
      <c r="C940" s="37"/>
      <c r="D940" s="37"/>
      <c r="E940" s="38"/>
      <c r="F940" s="38"/>
      <c r="G940" s="38"/>
      <c r="H940" s="38"/>
      <c r="I940" s="38"/>
      <c r="J940" s="38"/>
      <c r="K940" s="38"/>
    </row>
    <row r="941">
      <c r="B941" s="37"/>
      <c r="C941" s="37"/>
      <c r="D941" s="37"/>
      <c r="E941" s="38"/>
      <c r="F941" s="38"/>
      <c r="G941" s="38"/>
      <c r="H941" s="38"/>
      <c r="I941" s="38"/>
      <c r="J941" s="38"/>
      <c r="K941" s="38"/>
    </row>
    <row r="942">
      <c r="B942" s="37"/>
      <c r="C942" s="37"/>
      <c r="D942" s="37"/>
      <c r="E942" s="38"/>
      <c r="F942" s="38"/>
      <c r="G942" s="38"/>
      <c r="H942" s="38"/>
      <c r="I942" s="38"/>
      <c r="J942" s="38"/>
      <c r="K942" s="38"/>
    </row>
    <row r="943">
      <c r="B943" s="37"/>
      <c r="C943" s="37"/>
      <c r="D943" s="37"/>
      <c r="E943" s="38"/>
      <c r="F943" s="38"/>
      <c r="G943" s="38"/>
      <c r="H943" s="38"/>
      <c r="I943" s="38"/>
      <c r="J943" s="38"/>
      <c r="K943" s="38"/>
    </row>
    <row r="944">
      <c r="B944" s="37"/>
      <c r="C944" s="37"/>
      <c r="D944" s="37"/>
      <c r="E944" s="38"/>
      <c r="F944" s="38"/>
      <c r="G944" s="38"/>
      <c r="H944" s="38"/>
      <c r="I944" s="38"/>
      <c r="J944" s="38"/>
      <c r="K944" s="38"/>
    </row>
    <row r="945">
      <c r="B945" s="37"/>
      <c r="C945" s="37"/>
      <c r="D945" s="37"/>
      <c r="E945" s="38"/>
      <c r="F945" s="38"/>
      <c r="G945" s="38"/>
      <c r="H945" s="38"/>
      <c r="I945" s="38"/>
      <c r="J945" s="38"/>
      <c r="K945" s="38"/>
    </row>
    <row r="946">
      <c r="B946" s="37"/>
      <c r="C946" s="37"/>
      <c r="D946" s="37"/>
      <c r="E946" s="38"/>
      <c r="F946" s="38"/>
      <c r="G946" s="38"/>
      <c r="H946" s="38"/>
      <c r="I946" s="38"/>
      <c r="J946" s="38"/>
      <c r="K946" s="38"/>
    </row>
    <row r="947">
      <c r="B947" s="37"/>
      <c r="C947" s="37"/>
      <c r="D947" s="37"/>
      <c r="E947" s="38"/>
      <c r="F947" s="38"/>
      <c r="G947" s="38"/>
      <c r="H947" s="38"/>
      <c r="I947" s="38"/>
      <c r="J947" s="38"/>
      <c r="K947" s="38"/>
    </row>
    <row r="948">
      <c r="B948" s="37"/>
      <c r="C948" s="37"/>
      <c r="D948" s="37"/>
      <c r="E948" s="38"/>
      <c r="F948" s="38"/>
      <c r="G948" s="38"/>
      <c r="H948" s="38"/>
      <c r="I948" s="38"/>
      <c r="J948" s="38"/>
      <c r="K948" s="38"/>
    </row>
    <row r="949">
      <c r="B949" s="37"/>
      <c r="C949" s="37"/>
      <c r="D949" s="37"/>
      <c r="E949" s="38"/>
      <c r="F949" s="38"/>
      <c r="G949" s="38"/>
      <c r="H949" s="38"/>
      <c r="I949" s="38"/>
      <c r="J949" s="38"/>
      <c r="K949" s="38"/>
    </row>
    <row r="950">
      <c r="B950" s="37"/>
      <c r="C950" s="37"/>
      <c r="D950" s="37"/>
      <c r="E950" s="38"/>
      <c r="F950" s="38"/>
      <c r="G950" s="38"/>
      <c r="H950" s="38"/>
      <c r="I950" s="38"/>
      <c r="J950" s="38"/>
      <c r="K950" s="38"/>
    </row>
    <row r="951">
      <c r="B951" s="37"/>
      <c r="C951" s="37"/>
      <c r="D951" s="37"/>
      <c r="E951" s="38"/>
      <c r="F951" s="38"/>
      <c r="G951" s="38"/>
      <c r="H951" s="38"/>
      <c r="I951" s="38"/>
      <c r="J951" s="38"/>
      <c r="K951" s="38"/>
    </row>
    <row r="952">
      <c r="B952" s="37"/>
      <c r="C952" s="37"/>
      <c r="D952" s="37"/>
      <c r="E952" s="38"/>
      <c r="F952" s="38"/>
      <c r="G952" s="38"/>
      <c r="H952" s="38"/>
      <c r="I952" s="38"/>
      <c r="J952" s="38"/>
      <c r="K952" s="38"/>
    </row>
    <row r="953">
      <c r="B953" s="37"/>
      <c r="C953" s="37"/>
      <c r="D953" s="37"/>
      <c r="E953" s="38"/>
      <c r="F953" s="38"/>
      <c r="G953" s="38"/>
      <c r="H953" s="38"/>
      <c r="I953" s="38"/>
      <c r="J953" s="38"/>
      <c r="K953" s="38"/>
    </row>
    <row r="954">
      <c r="B954" s="37"/>
      <c r="C954" s="37"/>
      <c r="D954" s="37"/>
      <c r="E954" s="38"/>
      <c r="F954" s="38"/>
      <c r="G954" s="38"/>
      <c r="H954" s="38"/>
      <c r="I954" s="38"/>
      <c r="J954" s="38"/>
      <c r="K954" s="38"/>
    </row>
    <row r="955">
      <c r="B955" s="37"/>
      <c r="C955" s="37"/>
      <c r="D955" s="37"/>
      <c r="E955" s="38"/>
      <c r="F955" s="38"/>
      <c r="G955" s="38"/>
      <c r="H955" s="38"/>
      <c r="I955" s="38"/>
      <c r="J955" s="38"/>
      <c r="K955" s="38"/>
    </row>
    <row r="956">
      <c r="B956" s="37"/>
      <c r="C956" s="37"/>
      <c r="D956" s="37"/>
      <c r="E956" s="38"/>
      <c r="F956" s="38"/>
      <c r="G956" s="38"/>
      <c r="H956" s="38"/>
      <c r="I956" s="38"/>
      <c r="J956" s="38"/>
      <c r="K956" s="38"/>
    </row>
    <row r="957">
      <c r="B957" s="37"/>
      <c r="C957" s="37"/>
      <c r="D957" s="37"/>
      <c r="E957" s="38"/>
      <c r="F957" s="38"/>
      <c r="G957" s="38"/>
      <c r="H957" s="38"/>
      <c r="I957" s="38"/>
      <c r="J957" s="38"/>
      <c r="K957" s="38"/>
    </row>
    <row r="958">
      <c r="B958" s="37"/>
      <c r="C958" s="37"/>
      <c r="D958" s="37"/>
      <c r="E958" s="38"/>
      <c r="F958" s="38"/>
      <c r="G958" s="38"/>
      <c r="H958" s="38"/>
      <c r="I958" s="38"/>
      <c r="J958" s="38"/>
      <c r="K958" s="38"/>
    </row>
    <row r="959">
      <c r="B959" s="37"/>
      <c r="C959" s="37"/>
      <c r="D959" s="37"/>
      <c r="E959" s="38"/>
      <c r="F959" s="38"/>
      <c r="G959" s="38"/>
      <c r="H959" s="38"/>
      <c r="I959" s="38"/>
      <c r="J959" s="38"/>
      <c r="K959" s="38"/>
    </row>
    <row r="960">
      <c r="B960" s="37"/>
      <c r="C960" s="37"/>
      <c r="D960" s="37"/>
      <c r="E960" s="38"/>
      <c r="F960" s="38"/>
      <c r="G960" s="38"/>
      <c r="H960" s="38"/>
      <c r="I960" s="38"/>
      <c r="J960" s="38"/>
      <c r="K960" s="38"/>
    </row>
    <row r="961">
      <c r="B961" s="37"/>
      <c r="C961" s="37"/>
      <c r="D961" s="37"/>
      <c r="E961" s="38"/>
      <c r="F961" s="38"/>
      <c r="G961" s="38"/>
      <c r="H961" s="38"/>
      <c r="I961" s="38"/>
      <c r="J961" s="38"/>
      <c r="K961" s="38"/>
    </row>
    <row r="962">
      <c r="B962" s="37"/>
      <c r="C962" s="37"/>
      <c r="D962" s="37"/>
      <c r="E962" s="38"/>
      <c r="F962" s="38"/>
      <c r="G962" s="38"/>
      <c r="H962" s="38"/>
      <c r="I962" s="38"/>
      <c r="J962" s="38"/>
      <c r="K962" s="38"/>
    </row>
    <row r="963">
      <c r="B963" s="37"/>
      <c r="C963" s="37"/>
      <c r="D963" s="37"/>
      <c r="E963" s="38"/>
      <c r="F963" s="38"/>
      <c r="G963" s="38"/>
      <c r="H963" s="38"/>
      <c r="I963" s="38"/>
      <c r="J963" s="38"/>
      <c r="K963" s="38"/>
    </row>
    <row r="964">
      <c r="B964" s="37"/>
      <c r="C964" s="37"/>
      <c r="D964" s="37"/>
      <c r="E964" s="38"/>
      <c r="F964" s="38"/>
      <c r="G964" s="38"/>
      <c r="H964" s="38"/>
      <c r="I964" s="38"/>
      <c r="J964" s="38"/>
      <c r="K964" s="38"/>
    </row>
    <row r="965">
      <c r="B965" s="37"/>
      <c r="C965" s="37"/>
      <c r="D965" s="37"/>
      <c r="E965" s="38"/>
      <c r="F965" s="38"/>
      <c r="G965" s="38"/>
      <c r="H965" s="38"/>
      <c r="I965" s="38"/>
      <c r="J965" s="38"/>
      <c r="K965" s="38"/>
    </row>
    <row r="966">
      <c r="B966" s="37"/>
      <c r="C966" s="37"/>
      <c r="D966" s="37"/>
      <c r="E966" s="38"/>
      <c r="F966" s="38"/>
      <c r="G966" s="38"/>
      <c r="H966" s="38"/>
      <c r="I966" s="38"/>
      <c r="J966" s="38"/>
      <c r="K966" s="38"/>
    </row>
    <row r="967">
      <c r="B967" s="37"/>
      <c r="C967" s="37"/>
      <c r="D967" s="37"/>
      <c r="E967" s="38"/>
      <c r="F967" s="38"/>
      <c r="G967" s="38"/>
      <c r="H967" s="38"/>
      <c r="I967" s="38"/>
      <c r="J967" s="38"/>
      <c r="K967" s="38"/>
    </row>
    <row r="968">
      <c r="B968" s="37"/>
      <c r="C968" s="37"/>
      <c r="D968" s="37"/>
      <c r="E968" s="38"/>
      <c r="F968" s="38"/>
      <c r="G968" s="38"/>
      <c r="H968" s="38"/>
      <c r="I968" s="38"/>
      <c r="J968" s="38"/>
      <c r="K968" s="38"/>
    </row>
    <row r="969">
      <c r="B969" s="37"/>
      <c r="C969" s="37"/>
      <c r="D969" s="37"/>
      <c r="E969" s="38"/>
      <c r="F969" s="38"/>
      <c r="G969" s="38"/>
      <c r="H969" s="38"/>
      <c r="I969" s="38"/>
      <c r="J969" s="38"/>
      <c r="K969" s="38"/>
    </row>
    <row r="970">
      <c r="B970" s="37"/>
      <c r="C970" s="37"/>
      <c r="D970" s="37"/>
      <c r="E970" s="38"/>
      <c r="F970" s="38"/>
      <c r="G970" s="38"/>
      <c r="H970" s="38"/>
      <c r="I970" s="38"/>
      <c r="J970" s="38"/>
      <c r="K970" s="38"/>
    </row>
    <row r="971">
      <c r="B971" s="37"/>
      <c r="C971" s="37"/>
      <c r="D971" s="37"/>
      <c r="E971" s="38"/>
      <c r="F971" s="38"/>
      <c r="G971" s="38"/>
      <c r="H971" s="38"/>
      <c r="I971" s="38"/>
      <c r="J971" s="38"/>
      <c r="K971" s="38"/>
    </row>
    <row r="972">
      <c r="B972" s="37"/>
      <c r="C972" s="37"/>
      <c r="D972" s="37"/>
      <c r="E972" s="38"/>
      <c r="F972" s="38"/>
      <c r="G972" s="38"/>
      <c r="H972" s="38"/>
      <c r="I972" s="38"/>
      <c r="J972" s="38"/>
      <c r="K972" s="38"/>
    </row>
    <row r="973">
      <c r="B973" s="37"/>
      <c r="C973" s="37"/>
      <c r="D973" s="37"/>
      <c r="E973" s="38"/>
      <c r="F973" s="38"/>
      <c r="G973" s="38"/>
      <c r="H973" s="38"/>
      <c r="I973" s="38"/>
      <c r="J973" s="38"/>
      <c r="K973" s="38"/>
    </row>
    <row r="974">
      <c r="B974" s="37"/>
      <c r="C974" s="37"/>
      <c r="D974" s="37"/>
      <c r="E974" s="38"/>
      <c r="F974" s="38"/>
      <c r="G974" s="38"/>
      <c r="H974" s="38"/>
      <c r="I974" s="38"/>
      <c r="J974" s="38"/>
      <c r="K974" s="38"/>
    </row>
    <row r="975">
      <c r="B975" s="37"/>
      <c r="C975" s="37"/>
      <c r="D975" s="37"/>
      <c r="E975" s="38"/>
      <c r="F975" s="38"/>
      <c r="G975" s="38"/>
      <c r="H975" s="38"/>
      <c r="I975" s="38"/>
      <c r="J975" s="38"/>
      <c r="K975" s="38"/>
    </row>
    <row r="976">
      <c r="B976" s="37"/>
      <c r="C976" s="37"/>
      <c r="D976" s="37"/>
      <c r="E976" s="38"/>
      <c r="F976" s="38"/>
      <c r="G976" s="38"/>
      <c r="H976" s="38"/>
      <c r="I976" s="38"/>
      <c r="J976" s="38"/>
      <c r="K976" s="38"/>
    </row>
    <row r="977">
      <c r="B977" s="37"/>
      <c r="C977" s="37"/>
      <c r="D977" s="37"/>
      <c r="E977" s="38"/>
      <c r="F977" s="38"/>
      <c r="G977" s="38"/>
      <c r="H977" s="38"/>
      <c r="I977" s="38"/>
      <c r="J977" s="38"/>
      <c r="K977" s="38"/>
    </row>
    <row r="978">
      <c r="B978" s="37"/>
      <c r="C978" s="37"/>
      <c r="D978" s="37"/>
      <c r="E978" s="38"/>
      <c r="F978" s="38"/>
      <c r="G978" s="38"/>
      <c r="H978" s="38"/>
      <c r="I978" s="38"/>
      <c r="J978" s="38"/>
      <c r="K978" s="38"/>
    </row>
    <row r="979">
      <c r="B979" s="37"/>
      <c r="C979" s="37"/>
      <c r="D979" s="37"/>
      <c r="E979" s="38"/>
      <c r="F979" s="38"/>
      <c r="G979" s="38"/>
      <c r="H979" s="38"/>
      <c r="I979" s="38"/>
      <c r="J979" s="38"/>
      <c r="K979" s="38"/>
    </row>
    <row r="980">
      <c r="B980" s="37"/>
      <c r="C980" s="37"/>
      <c r="D980" s="37"/>
      <c r="E980" s="38"/>
      <c r="F980" s="38"/>
      <c r="G980" s="38"/>
      <c r="H980" s="38"/>
      <c r="I980" s="38"/>
      <c r="J980" s="38"/>
      <c r="K980" s="38"/>
    </row>
    <row r="981">
      <c r="B981" s="37"/>
      <c r="C981" s="37"/>
      <c r="D981" s="37"/>
      <c r="E981" s="38"/>
      <c r="F981" s="38"/>
      <c r="G981" s="38"/>
      <c r="H981" s="38"/>
      <c r="I981" s="38"/>
      <c r="J981" s="38"/>
      <c r="K981" s="38"/>
    </row>
    <row r="982">
      <c r="B982" s="37"/>
      <c r="C982" s="37"/>
      <c r="D982" s="37"/>
      <c r="E982" s="38"/>
      <c r="F982" s="38"/>
      <c r="G982" s="38"/>
      <c r="H982" s="38"/>
      <c r="I982" s="38"/>
      <c r="J982" s="38"/>
      <c r="K982" s="38"/>
    </row>
    <row r="983">
      <c r="B983" s="37"/>
      <c r="C983" s="37"/>
      <c r="D983" s="37"/>
      <c r="E983" s="38"/>
      <c r="F983" s="38"/>
      <c r="G983" s="38"/>
      <c r="H983" s="38"/>
      <c r="I983" s="38"/>
      <c r="J983" s="38"/>
      <c r="K983" s="38"/>
    </row>
    <row r="984">
      <c r="B984" s="37"/>
      <c r="C984" s="37"/>
      <c r="D984" s="37"/>
      <c r="E984" s="38"/>
      <c r="F984" s="38"/>
      <c r="G984" s="38"/>
      <c r="H984" s="38"/>
      <c r="I984" s="38"/>
      <c r="J984" s="38"/>
      <c r="K984" s="38"/>
    </row>
    <row r="985">
      <c r="B985" s="37"/>
      <c r="C985" s="37"/>
      <c r="D985" s="37"/>
      <c r="E985" s="38"/>
      <c r="F985" s="38"/>
      <c r="G985" s="38"/>
      <c r="H985" s="38"/>
      <c r="I985" s="38"/>
      <c r="J985" s="38"/>
      <c r="K985" s="38"/>
    </row>
    <row r="986">
      <c r="B986" s="37"/>
      <c r="C986" s="37"/>
      <c r="D986" s="37"/>
      <c r="E986" s="38"/>
      <c r="F986" s="38"/>
      <c r="G986" s="38"/>
      <c r="H986" s="38"/>
      <c r="I986" s="38"/>
      <c r="J986" s="38"/>
      <c r="K986" s="38"/>
    </row>
    <row r="987">
      <c r="B987" s="37"/>
      <c r="C987" s="37"/>
      <c r="D987" s="37"/>
      <c r="E987" s="38"/>
      <c r="F987" s="38"/>
      <c r="G987" s="38"/>
      <c r="H987" s="38"/>
      <c r="I987" s="38"/>
      <c r="J987" s="38"/>
      <c r="K987" s="38"/>
    </row>
    <row r="988">
      <c r="B988" s="37"/>
      <c r="C988" s="37"/>
      <c r="D988" s="37"/>
      <c r="E988" s="38"/>
      <c r="F988" s="38"/>
      <c r="G988" s="38"/>
      <c r="H988" s="38"/>
      <c r="I988" s="38"/>
      <c r="J988" s="38"/>
      <c r="K988" s="38"/>
    </row>
    <row r="989">
      <c r="B989" s="37"/>
      <c r="C989" s="37"/>
      <c r="D989" s="37"/>
      <c r="E989" s="38"/>
      <c r="F989" s="38"/>
      <c r="G989" s="38"/>
      <c r="H989" s="38"/>
      <c r="I989" s="38"/>
      <c r="J989" s="38"/>
      <c r="K989" s="38"/>
    </row>
    <row r="990">
      <c r="B990" s="37"/>
      <c r="C990" s="37"/>
      <c r="D990" s="37"/>
      <c r="E990" s="38"/>
      <c r="F990" s="38"/>
      <c r="G990" s="38"/>
      <c r="H990" s="38"/>
      <c r="I990" s="38"/>
      <c r="J990" s="38"/>
      <c r="K990" s="38"/>
    </row>
    <row r="991">
      <c r="B991" s="37"/>
      <c r="C991" s="37"/>
      <c r="D991" s="37"/>
      <c r="E991" s="38"/>
      <c r="F991" s="38"/>
      <c r="G991" s="38"/>
      <c r="H991" s="38"/>
      <c r="I991" s="38"/>
      <c r="J991" s="38"/>
      <c r="K991" s="38"/>
    </row>
    <row r="992">
      <c r="B992" s="37"/>
      <c r="C992" s="37"/>
      <c r="D992" s="37"/>
      <c r="E992" s="38"/>
      <c r="F992" s="38"/>
      <c r="G992" s="38"/>
      <c r="H992" s="38"/>
      <c r="I992" s="38"/>
      <c r="J992" s="38"/>
      <c r="K992" s="38"/>
    </row>
    <row r="993">
      <c r="B993" s="37"/>
      <c r="C993" s="37"/>
      <c r="D993" s="37"/>
      <c r="E993" s="38"/>
      <c r="F993" s="38"/>
      <c r="G993" s="38"/>
      <c r="H993" s="38"/>
      <c r="I993" s="38"/>
      <c r="J993" s="38"/>
      <c r="K993" s="38"/>
    </row>
    <row r="994">
      <c r="B994" s="37"/>
      <c r="C994" s="37"/>
      <c r="D994" s="37"/>
      <c r="E994" s="38"/>
      <c r="F994" s="38"/>
      <c r="G994" s="38"/>
      <c r="H994" s="38"/>
      <c r="I994" s="38"/>
      <c r="J994" s="38"/>
      <c r="K994" s="38"/>
    </row>
    <row r="995">
      <c r="B995" s="37"/>
      <c r="C995" s="37"/>
      <c r="D995" s="37"/>
      <c r="E995" s="38"/>
      <c r="F995" s="38"/>
      <c r="G995" s="38"/>
      <c r="H995" s="38"/>
      <c r="I995" s="38"/>
      <c r="J995" s="38"/>
      <c r="K995" s="38"/>
    </row>
    <row r="996">
      <c r="B996" s="37"/>
      <c r="C996" s="37"/>
      <c r="D996" s="37"/>
      <c r="E996" s="38"/>
      <c r="F996" s="38"/>
      <c r="G996" s="38"/>
      <c r="H996" s="38"/>
      <c r="I996" s="38"/>
      <c r="J996" s="38"/>
      <c r="K996" s="38"/>
    </row>
    <row r="997">
      <c r="B997" s="37"/>
      <c r="C997" s="37"/>
      <c r="D997" s="37"/>
      <c r="E997" s="38"/>
      <c r="F997" s="38"/>
      <c r="G997" s="38"/>
      <c r="H997" s="38"/>
      <c r="I997" s="38"/>
      <c r="J997" s="38"/>
      <c r="K997" s="38"/>
    </row>
    <row r="998">
      <c r="B998" s="37"/>
      <c r="C998" s="37"/>
      <c r="D998" s="37"/>
      <c r="E998" s="38"/>
      <c r="F998" s="38"/>
      <c r="G998" s="38"/>
      <c r="H998" s="38"/>
      <c r="I998" s="38"/>
      <c r="J998" s="38"/>
      <c r="K998" s="38"/>
    </row>
    <row r="999">
      <c r="B999" s="37"/>
      <c r="C999" s="37"/>
      <c r="D999" s="37"/>
      <c r="E999" s="38"/>
      <c r="F999" s="38"/>
      <c r="G999" s="38"/>
      <c r="H999" s="38"/>
      <c r="I999" s="38"/>
      <c r="J999" s="38"/>
      <c r="K999"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88"/>
    <col customWidth="1" min="2" max="2" width="23.38"/>
    <col customWidth="1" min="3" max="3" width="42.13"/>
    <col customWidth="1" min="4" max="4" width="30.13"/>
    <col customWidth="1" min="5" max="5" width="25.25"/>
    <col customWidth="1" min="6" max="6" width="16.63"/>
    <col customWidth="1" hidden="1" min="7" max="7" width="17.63"/>
    <col customWidth="1" min="8" max="9" width="26.25"/>
  </cols>
  <sheetData>
    <row r="1" ht="14.25" customHeight="1">
      <c r="A1" s="58"/>
      <c r="B1" s="59"/>
      <c r="C1" s="59"/>
      <c r="D1" s="59"/>
      <c r="E1" s="59"/>
      <c r="F1" s="59"/>
      <c r="G1" s="58"/>
      <c r="H1" s="58"/>
      <c r="I1" s="58"/>
    </row>
    <row r="2" ht="39.0" customHeight="1">
      <c r="A2" s="60" t="s">
        <v>212</v>
      </c>
      <c r="B2" s="60" t="s">
        <v>213</v>
      </c>
      <c r="C2" s="60" t="s">
        <v>214</v>
      </c>
      <c r="D2" s="60" t="s">
        <v>215</v>
      </c>
      <c r="E2" s="60" t="s">
        <v>216</v>
      </c>
      <c r="F2" s="60" t="s">
        <v>217</v>
      </c>
      <c r="G2" s="60" t="s">
        <v>218</v>
      </c>
      <c r="H2" s="60" t="s">
        <v>219</v>
      </c>
      <c r="I2" s="60"/>
    </row>
    <row r="3" ht="15.75" customHeight="1">
      <c r="A3" s="61" t="s">
        <v>12</v>
      </c>
      <c r="B3" s="62"/>
      <c r="C3" s="63"/>
      <c r="D3" s="63"/>
      <c r="E3" s="63"/>
      <c r="F3" s="64"/>
      <c r="G3" s="65"/>
      <c r="H3" s="65"/>
      <c r="I3" s="65"/>
    </row>
    <row r="4" ht="15.75" customHeight="1">
      <c r="A4" s="66" t="s">
        <v>14</v>
      </c>
      <c r="B4" s="67"/>
      <c r="C4" s="68"/>
      <c r="D4" s="68"/>
      <c r="E4" s="68"/>
      <c r="F4" s="68"/>
      <c r="G4" s="69"/>
      <c r="H4" s="69"/>
      <c r="I4" s="69"/>
    </row>
    <row r="5">
      <c r="A5" s="70">
        <v>1.0</v>
      </c>
      <c r="B5" s="71" t="s">
        <v>220</v>
      </c>
      <c r="C5" s="71" t="s">
        <v>221</v>
      </c>
      <c r="D5" s="71" t="s">
        <v>222</v>
      </c>
      <c r="E5" s="71"/>
      <c r="F5" s="72" t="s">
        <v>8</v>
      </c>
      <c r="G5" s="73"/>
      <c r="H5" s="73"/>
      <c r="I5" s="73"/>
    </row>
    <row r="6">
      <c r="A6" s="70">
        <v>2.0</v>
      </c>
      <c r="B6" s="71" t="s">
        <v>223</v>
      </c>
      <c r="C6" s="71" t="s">
        <v>224</v>
      </c>
      <c r="D6" s="71" t="s">
        <v>225</v>
      </c>
      <c r="E6" s="71"/>
      <c r="F6" s="72" t="s">
        <v>8</v>
      </c>
      <c r="G6" s="73"/>
      <c r="H6" s="73"/>
      <c r="I6" s="73"/>
    </row>
    <row r="7">
      <c r="A7" s="70">
        <v>3.0</v>
      </c>
      <c r="B7" s="71" t="s">
        <v>226</v>
      </c>
      <c r="C7" s="71" t="s">
        <v>227</v>
      </c>
      <c r="D7" s="71" t="s">
        <v>228</v>
      </c>
      <c r="E7" s="71"/>
      <c r="F7" s="72" t="s">
        <v>8</v>
      </c>
      <c r="G7" s="73"/>
      <c r="H7" s="73"/>
      <c r="I7" s="73"/>
    </row>
    <row r="8">
      <c r="A8" s="70">
        <v>4.0</v>
      </c>
      <c r="B8" s="71" t="s">
        <v>229</v>
      </c>
      <c r="C8" s="71" t="s">
        <v>230</v>
      </c>
      <c r="D8" s="71" t="s">
        <v>231</v>
      </c>
      <c r="E8" s="71"/>
      <c r="F8" s="72" t="s">
        <v>8</v>
      </c>
      <c r="G8" s="73"/>
      <c r="H8" s="73"/>
      <c r="I8" s="73"/>
    </row>
    <row r="9">
      <c r="A9" s="70">
        <v>5.0</v>
      </c>
      <c r="B9" s="71" t="s">
        <v>232</v>
      </c>
      <c r="C9" s="71" t="s">
        <v>233</v>
      </c>
      <c r="D9" s="71" t="s">
        <v>234</v>
      </c>
      <c r="E9" s="71"/>
      <c r="F9" s="72" t="s">
        <v>8</v>
      </c>
      <c r="G9" s="73"/>
      <c r="H9" s="73"/>
      <c r="I9" s="73"/>
    </row>
    <row r="10">
      <c r="A10" s="70">
        <v>6.0</v>
      </c>
      <c r="B10" s="71" t="s">
        <v>235</v>
      </c>
      <c r="C10" s="71" t="s">
        <v>236</v>
      </c>
      <c r="D10" s="71" t="s">
        <v>237</v>
      </c>
      <c r="E10" s="71"/>
      <c r="F10" s="72" t="s">
        <v>8</v>
      </c>
      <c r="G10" s="73"/>
      <c r="H10" s="73"/>
      <c r="I10" s="73"/>
    </row>
    <row r="11">
      <c r="A11" s="70">
        <v>7.0</v>
      </c>
      <c r="B11" s="74" t="s">
        <v>238</v>
      </c>
      <c r="C11" s="74" t="s">
        <v>239</v>
      </c>
      <c r="D11" s="74" t="s">
        <v>240</v>
      </c>
      <c r="E11" s="74" t="s">
        <v>241</v>
      </c>
      <c r="F11" s="75" t="s">
        <v>8</v>
      </c>
      <c r="G11" s="74"/>
      <c r="H11" s="76" t="s">
        <v>242</v>
      </c>
      <c r="I11" s="74"/>
    </row>
    <row r="12">
      <c r="A12" s="66" t="s">
        <v>17</v>
      </c>
      <c r="B12" s="67"/>
      <c r="C12" s="68"/>
      <c r="D12" s="68"/>
      <c r="E12" s="68"/>
      <c r="F12" s="68"/>
      <c r="G12" s="69"/>
      <c r="H12" s="69"/>
      <c r="I12" s="69"/>
    </row>
    <row r="13">
      <c r="A13" s="70">
        <v>1.0</v>
      </c>
      <c r="B13" s="71" t="s">
        <v>243</v>
      </c>
      <c r="C13" s="71" t="s">
        <v>244</v>
      </c>
      <c r="D13" s="71" t="s">
        <v>245</v>
      </c>
      <c r="E13" s="71"/>
      <c r="F13" s="72" t="s">
        <v>8</v>
      </c>
      <c r="G13" s="73"/>
      <c r="H13" s="73"/>
      <c r="I13" s="73"/>
    </row>
    <row r="14">
      <c r="A14" s="70">
        <v>2.0</v>
      </c>
      <c r="B14" s="71" t="s">
        <v>246</v>
      </c>
      <c r="C14" s="71" t="s">
        <v>247</v>
      </c>
      <c r="D14" s="71" t="s">
        <v>248</v>
      </c>
      <c r="E14" s="71"/>
      <c r="F14" s="72" t="s">
        <v>8</v>
      </c>
      <c r="G14" s="73"/>
      <c r="H14" s="73"/>
      <c r="I14" s="73"/>
    </row>
    <row r="15">
      <c r="A15" s="70">
        <v>3.0</v>
      </c>
      <c r="B15" s="71" t="s">
        <v>249</v>
      </c>
      <c r="C15" s="71" t="s">
        <v>250</v>
      </c>
      <c r="D15" s="71" t="s">
        <v>251</v>
      </c>
      <c r="E15" s="71"/>
      <c r="F15" s="72" t="s">
        <v>8</v>
      </c>
      <c r="G15" s="73"/>
      <c r="H15" s="73"/>
      <c r="I15" s="73"/>
    </row>
    <row r="16">
      <c r="A16" s="70">
        <v>4.0</v>
      </c>
      <c r="B16" s="71" t="s">
        <v>252</v>
      </c>
      <c r="C16" s="71" t="s">
        <v>253</v>
      </c>
      <c r="D16" s="71" t="s">
        <v>254</v>
      </c>
      <c r="E16" s="71"/>
      <c r="F16" s="72" t="s">
        <v>8</v>
      </c>
      <c r="G16" s="73"/>
      <c r="H16" s="73"/>
      <c r="I16" s="73"/>
    </row>
    <row r="17">
      <c r="A17" s="66" t="s">
        <v>20</v>
      </c>
      <c r="B17" s="67"/>
      <c r="C17" s="68"/>
      <c r="D17" s="68"/>
      <c r="E17" s="68"/>
      <c r="F17" s="68"/>
      <c r="G17" s="69"/>
      <c r="H17" s="69"/>
      <c r="I17" s="69"/>
    </row>
    <row r="18">
      <c r="A18" s="70">
        <v>1.0</v>
      </c>
      <c r="B18" s="71" t="s">
        <v>255</v>
      </c>
      <c r="C18" s="71" t="s">
        <v>256</v>
      </c>
      <c r="D18" s="71" t="s">
        <v>257</v>
      </c>
      <c r="E18" s="71"/>
      <c r="F18" s="72" t="s">
        <v>8</v>
      </c>
      <c r="G18" s="73"/>
      <c r="H18" s="73"/>
      <c r="I18" s="73"/>
    </row>
    <row r="19">
      <c r="A19" s="70">
        <v>2.0</v>
      </c>
      <c r="B19" s="71" t="s">
        <v>258</v>
      </c>
      <c r="C19" s="71" t="s">
        <v>259</v>
      </c>
      <c r="D19" s="71" t="s">
        <v>260</v>
      </c>
      <c r="E19" s="71"/>
      <c r="F19" s="72" t="s">
        <v>8</v>
      </c>
      <c r="G19" s="73"/>
      <c r="H19" s="73"/>
      <c r="I19" s="73"/>
    </row>
    <row r="20">
      <c r="A20" s="70">
        <v>3.0</v>
      </c>
      <c r="B20" s="71" t="s">
        <v>261</v>
      </c>
      <c r="C20" s="71" t="s">
        <v>262</v>
      </c>
      <c r="D20" s="71" t="s">
        <v>263</v>
      </c>
      <c r="E20" s="71"/>
      <c r="F20" s="72" t="s">
        <v>8</v>
      </c>
      <c r="G20" s="73"/>
      <c r="H20" s="73"/>
      <c r="I20" s="73"/>
    </row>
    <row r="21">
      <c r="A21" s="70">
        <v>4.0</v>
      </c>
      <c r="B21" s="71" t="s">
        <v>264</v>
      </c>
      <c r="C21" s="71" t="s">
        <v>265</v>
      </c>
      <c r="D21" s="71" t="s">
        <v>266</v>
      </c>
      <c r="E21" s="71"/>
      <c r="F21" s="72" t="s">
        <v>8</v>
      </c>
      <c r="G21" s="73"/>
      <c r="H21" s="73"/>
      <c r="I21" s="73"/>
    </row>
    <row r="22">
      <c r="A22" s="70">
        <v>5.0</v>
      </c>
      <c r="B22" s="71" t="s">
        <v>267</v>
      </c>
      <c r="C22" s="71" t="s">
        <v>268</v>
      </c>
      <c r="D22" s="71" t="s">
        <v>269</v>
      </c>
      <c r="E22" s="71"/>
      <c r="F22" s="72" t="s">
        <v>8</v>
      </c>
      <c r="G22" s="73"/>
      <c r="H22" s="73"/>
      <c r="I22" s="73"/>
    </row>
    <row r="23">
      <c r="A23" s="70">
        <v>6.0</v>
      </c>
      <c r="B23" s="71" t="s">
        <v>270</v>
      </c>
      <c r="C23" s="71" t="s">
        <v>271</v>
      </c>
      <c r="D23" s="71" t="s">
        <v>272</v>
      </c>
      <c r="E23" s="71"/>
      <c r="F23" s="72" t="s">
        <v>8</v>
      </c>
      <c r="G23" s="73"/>
      <c r="H23" s="73"/>
      <c r="I23" s="73"/>
    </row>
    <row r="24">
      <c r="A24" s="70">
        <v>7.0</v>
      </c>
      <c r="B24" s="71" t="s">
        <v>273</v>
      </c>
      <c r="C24" s="71" t="s">
        <v>274</v>
      </c>
      <c r="D24" s="71" t="s">
        <v>275</v>
      </c>
      <c r="E24" s="71"/>
      <c r="F24" s="72" t="s">
        <v>8</v>
      </c>
      <c r="G24" s="73"/>
      <c r="H24" s="73"/>
      <c r="I24" s="73"/>
    </row>
    <row r="25">
      <c r="A25" s="70">
        <v>8.0</v>
      </c>
      <c r="B25" s="71" t="s">
        <v>276</v>
      </c>
      <c r="C25" s="71" t="s">
        <v>277</v>
      </c>
      <c r="D25" s="71" t="s">
        <v>278</v>
      </c>
      <c r="E25" s="71"/>
      <c r="F25" s="72" t="s">
        <v>8</v>
      </c>
      <c r="G25" s="73"/>
      <c r="H25" s="73"/>
      <c r="I25" s="73"/>
    </row>
    <row r="26">
      <c r="A26" s="70">
        <v>9.0</v>
      </c>
      <c r="B26" s="71" t="s">
        <v>279</v>
      </c>
      <c r="C26" s="71" t="s">
        <v>280</v>
      </c>
      <c r="D26" s="71" t="s">
        <v>281</v>
      </c>
      <c r="E26" s="71"/>
      <c r="F26" s="72" t="s">
        <v>8</v>
      </c>
      <c r="G26" s="73"/>
      <c r="H26" s="73"/>
      <c r="I26" s="73"/>
    </row>
    <row r="27">
      <c r="A27" s="70">
        <v>10.0</v>
      </c>
      <c r="B27" s="71" t="s">
        <v>282</v>
      </c>
      <c r="C27" s="71" t="s">
        <v>283</v>
      </c>
      <c r="D27" s="71" t="s">
        <v>284</v>
      </c>
      <c r="E27" s="71"/>
      <c r="F27" s="72" t="s">
        <v>8</v>
      </c>
      <c r="G27" s="73"/>
      <c r="H27" s="73"/>
      <c r="I27" s="73"/>
    </row>
    <row r="28">
      <c r="A28" s="70">
        <v>11.0</v>
      </c>
      <c r="B28" s="71" t="s">
        <v>285</v>
      </c>
      <c r="C28" s="71" t="s">
        <v>286</v>
      </c>
      <c r="D28" s="71" t="s">
        <v>287</v>
      </c>
      <c r="E28" s="71"/>
      <c r="F28" s="72" t="s">
        <v>8</v>
      </c>
      <c r="G28" s="73"/>
      <c r="H28" s="73"/>
      <c r="I28" s="73"/>
    </row>
    <row r="29">
      <c r="A29" s="70">
        <v>12.0</v>
      </c>
      <c r="B29" s="71" t="s">
        <v>288</v>
      </c>
      <c r="C29" s="71" t="s">
        <v>289</v>
      </c>
      <c r="D29" s="71" t="s">
        <v>290</v>
      </c>
      <c r="E29" s="71"/>
      <c r="F29" s="72" t="s">
        <v>8</v>
      </c>
      <c r="G29" s="73"/>
      <c r="H29" s="73"/>
      <c r="I29" s="73"/>
    </row>
    <row r="30">
      <c r="A30" s="70">
        <v>13.0</v>
      </c>
      <c r="B30" s="71" t="s">
        <v>291</v>
      </c>
      <c r="C30" s="71" t="s">
        <v>292</v>
      </c>
      <c r="D30" s="71" t="s">
        <v>293</v>
      </c>
      <c r="E30" s="74" t="s">
        <v>241</v>
      </c>
      <c r="F30" s="75" t="s">
        <v>8</v>
      </c>
      <c r="G30" s="73"/>
      <c r="H30" s="76" t="s">
        <v>242</v>
      </c>
      <c r="I30" s="73"/>
    </row>
    <row r="31">
      <c r="A31" s="70">
        <v>14.0</v>
      </c>
      <c r="B31" s="71" t="s">
        <v>294</v>
      </c>
      <c r="C31" s="71" t="s">
        <v>283</v>
      </c>
      <c r="D31" s="71" t="s">
        <v>295</v>
      </c>
      <c r="E31" s="71"/>
      <c r="F31" s="72" t="s">
        <v>8</v>
      </c>
      <c r="G31" s="73"/>
      <c r="H31" s="73"/>
      <c r="I31" s="73"/>
    </row>
    <row r="32">
      <c r="A32" s="70">
        <v>15.0</v>
      </c>
      <c r="B32" s="71" t="s">
        <v>296</v>
      </c>
      <c r="C32" s="71" t="s">
        <v>297</v>
      </c>
      <c r="D32" s="71" t="s">
        <v>298</v>
      </c>
      <c r="E32" s="71"/>
      <c r="F32" s="72" t="s">
        <v>8</v>
      </c>
      <c r="G32" s="73"/>
      <c r="H32" s="73"/>
      <c r="I32" s="73"/>
    </row>
    <row r="33">
      <c r="A33" s="70">
        <v>16.0</v>
      </c>
      <c r="B33" s="71" t="s">
        <v>299</v>
      </c>
      <c r="C33" s="71" t="s">
        <v>300</v>
      </c>
      <c r="D33" s="71" t="s">
        <v>301</v>
      </c>
      <c r="E33" s="71"/>
      <c r="F33" s="72" t="s">
        <v>8</v>
      </c>
      <c r="G33" s="73"/>
      <c r="H33" s="73"/>
      <c r="I33" s="73"/>
    </row>
    <row r="34">
      <c r="A34" s="70">
        <v>17.0</v>
      </c>
      <c r="B34" s="71" t="s">
        <v>302</v>
      </c>
      <c r="C34" s="71" t="s">
        <v>303</v>
      </c>
      <c r="D34" s="71" t="s">
        <v>304</v>
      </c>
      <c r="E34" s="71"/>
      <c r="F34" s="72" t="s">
        <v>8</v>
      </c>
      <c r="G34" s="73"/>
      <c r="H34" s="73"/>
      <c r="I34" s="73"/>
    </row>
    <row r="35">
      <c r="A35" s="70">
        <v>18.0</v>
      </c>
      <c r="B35" s="71" t="s">
        <v>305</v>
      </c>
      <c r="C35" s="71" t="s">
        <v>306</v>
      </c>
      <c r="D35" s="71" t="s">
        <v>307</v>
      </c>
      <c r="E35" s="71"/>
      <c r="F35" s="72" t="s">
        <v>8</v>
      </c>
      <c r="G35" s="73"/>
      <c r="H35" s="73"/>
      <c r="I35" s="73"/>
    </row>
    <row r="36">
      <c r="A36" s="70">
        <v>19.0</v>
      </c>
      <c r="B36" s="71" t="s">
        <v>308</v>
      </c>
      <c r="C36" s="71" t="s">
        <v>309</v>
      </c>
      <c r="D36" s="71" t="s">
        <v>310</v>
      </c>
      <c r="E36" s="71"/>
      <c r="F36" s="72" t="s">
        <v>8</v>
      </c>
      <c r="G36" s="73"/>
      <c r="H36" s="73"/>
      <c r="I36" s="73"/>
    </row>
    <row r="37">
      <c r="A37" s="70">
        <v>20.0</v>
      </c>
      <c r="B37" s="71" t="s">
        <v>311</v>
      </c>
      <c r="C37" s="71" t="s">
        <v>312</v>
      </c>
      <c r="D37" s="71" t="s">
        <v>313</v>
      </c>
      <c r="E37" s="71"/>
      <c r="F37" s="72" t="s">
        <v>8</v>
      </c>
      <c r="G37" s="73"/>
      <c r="H37" s="73"/>
      <c r="I37" s="73"/>
    </row>
    <row r="38">
      <c r="A38" s="70">
        <v>21.0</v>
      </c>
      <c r="B38" s="71" t="s">
        <v>314</v>
      </c>
      <c r="C38" s="71" t="s">
        <v>315</v>
      </c>
      <c r="D38" s="71" t="s">
        <v>316</v>
      </c>
      <c r="E38" s="71"/>
      <c r="F38" s="72" t="s">
        <v>8</v>
      </c>
      <c r="G38" s="73"/>
      <c r="H38" s="73"/>
      <c r="I38" s="73"/>
    </row>
    <row r="39">
      <c r="A39" s="70">
        <v>22.0</v>
      </c>
      <c r="B39" s="71" t="s">
        <v>317</v>
      </c>
      <c r="C39" s="71" t="s">
        <v>318</v>
      </c>
      <c r="D39" s="71" t="s">
        <v>319</v>
      </c>
      <c r="E39" s="71"/>
      <c r="F39" s="72" t="s">
        <v>8</v>
      </c>
      <c r="G39" s="73"/>
      <c r="H39" s="73"/>
      <c r="I39" s="73"/>
    </row>
    <row r="40">
      <c r="A40" s="70">
        <v>23.0</v>
      </c>
      <c r="B40" s="71" t="s">
        <v>320</v>
      </c>
      <c r="C40" s="71" t="s">
        <v>321</v>
      </c>
      <c r="D40" s="71" t="s">
        <v>322</v>
      </c>
      <c r="E40" s="71"/>
      <c r="F40" s="72" t="s">
        <v>8</v>
      </c>
      <c r="G40" s="73"/>
      <c r="H40" s="73"/>
      <c r="I40" s="73"/>
    </row>
    <row r="41">
      <c r="A41" s="70">
        <v>24.0</v>
      </c>
      <c r="B41" s="71" t="s">
        <v>323</v>
      </c>
      <c r="C41" s="71" t="s">
        <v>324</v>
      </c>
      <c r="D41" s="71" t="s">
        <v>325</v>
      </c>
      <c r="E41" s="71"/>
      <c r="F41" s="72" t="s">
        <v>8</v>
      </c>
      <c r="G41" s="73"/>
      <c r="H41" s="73"/>
      <c r="I41" s="73"/>
    </row>
    <row r="42">
      <c r="A42" s="70">
        <v>25.0</v>
      </c>
      <c r="B42" s="71" t="s">
        <v>326</v>
      </c>
      <c r="C42" s="71" t="s">
        <v>327</v>
      </c>
      <c r="D42" s="71" t="s">
        <v>328</v>
      </c>
      <c r="E42" s="71"/>
      <c r="F42" s="72" t="s">
        <v>8</v>
      </c>
      <c r="G42" s="73"/>
      <c r="H42" s="73"/>
      <c r="I42" s="73"/>
    </row>
    <row r="43" ht="15.75" customHeight="1">
      <c r="A43" s="66" t="s">
        <v>23</v>
      </c>
      <c r="B43" s="67"/>
      <c r="C43" s="68"/>
      <c r="D43" s="68"/>
      <c r="E43" s="68"/>
      <c r="F43" s="68"/>
      <c r="G43" s="69"/>
      <c r="H43" s="69"/>
      <c r="I43" s="69"/>
    </row>
    <row r="44">
      <c r="A44" s="77">
        <v>1.0</v>
      </c>
      <c r="B44" s="78" t="s">
        <v>329</v>
      </c>
      <c r="C44" s="78" t="s">
        <v>330</v>
      </c>
      <c r="D44" s="74" t="s">
        <v>331</v>
      </c>
      <c r="E44" s="78"/>
      <c r="F44" s="72" t="s">
        <v>8</v>
      </c>
      <c r="G44" s="78"/>
      <c r="H44" s="78"/>
      <c r="I44" s="78"/>
    </row>
    <row r="45">
      <c r="A45" s="77">
        <v>2.0</v>
      </c>
      <c r="B45" s="74" t="s">
        <v>332</v>
      </c>
      <c r="C45" s="74" t="s">
        <v>333</v>
      </c>
      <c r="D45" s="74" t="s">
        <v>334</v>
      </c>
      <c r="E45" s="78"/>
      <c r="F45" s="72" t="s">
        <v>8</v>
      </c>
      <c r="G45" s="78"/>
      <c r="H45" s="78"/>
      <c r="I45" s="78"/>
    </row>
    <row r="46">
      <c r="A46" s="77">
        <v>3.0</v>
      </c>
      <c r="B46" s="74" t="s">
        <v>335</v>
      </c>
      <c r="C46" s="74" t="s">
        <v>336</v>
      </c>
      <c r="D46" s="74" t="s">
        <v>337</v>
      </c>
      <c r="E46" s="74"/>
      <c r="F46" s="72" t="s">
        <v>8</v>
      </c>
      <c r="G46" s="74"/>
      <c r="H46" s="74"/>
      <c r="I46" s="74"/>
    </row>
    <row r="47">
      <c r="A47" s="77">
        <v>4.0</v>
      </c>
      <c r="B47" s="74" t="s">
        <v>338</v>
      </c>
      <c r="C47" s="74" t="s">
        <v>339</v>
      </c>
      <c r="D47" s="74" t="s">
        <v>340</v>
      </c>
      <c r="E47" s="74"/>
      <c r="F47" s="72" t="s">
        <v>8</v>
      </c>
      <c r="G47" s="74"/>
      <c r="H47" s="74"/>
      <c r="I47" s="74"/>
    </row>
    <row r="48">
      <c r="A48" s="77">
        <v>5.0</v>
      </c>
      <c r="B48" s="74" t="s">
        <v>341</v>
      </c>
      <c r="C48" s="74" t="s">
        <v>342</v>
      </c>
      <c r="D48" s="74" t="s">
        <v>343</v>
      </c>
      <c r="E48" s="74"/>
      <c r="F48" s="72" t="s">
        <v>8</v>
      </c>
      <c r="G48" s="74"/>
      <c r="H48" s="74"/>
      <c r="I48" s="74"/>
    </row>
    <row r="49">
      <c r="A49" s="77">
        <v>6.0</v>
      </c>
      <c r="B49" s="74" t="s">
        <v>344</v>
      </c>
      <c r="C49" s="74" t="s">
        <v>345</v>
      </c>
      <c r="D49" s="74" t="s">
        <v>346</v>
      </c>
      <c r="E49" s="74"/>
      <c r="F49" s="72" t="s">
        <v>8</v>
      </c>
      <c r="G49" s="74"/>
      <c r="H49" s="74"/>
      <c r="I49" s="74"/>
    </row>
    <row r="50">
      <c r="A50" s="77">
        <v>7.0</v>
      </c>
      <c r="B50" s="74" t="s">
        <v>347</v>
      </c>
      <c r="C50" s="74" t="s">
        <v>348</v>
      </c>
      <c r="D50" s="74" t="s">
        <v>343</v>
      </c>
      <c r="E50" s="74"/>
      <c r="F50" s="72" t="s">
        <v>8</v>
      </c>
      <c r="G50" s="74"/>
      <c r="H50" s="74"/>
      <c r="I50" s="74"/>
    </row>
    <row r="51">
      <c r="A51" s="77">
        <v>8.0</v>
      </c>
      <c r="B51" s="74" t="s">
        <v>349</v>
      </c>
      <c r="C51" s="74" t="s">
        <v>350</v>
      </c>
      <c r="D51" s="74" t="s">
        <v>346</v>
      </c>
      <c r="E51" s="74"/>
      <c r="F51" s="72" t="s">
        <v>8</v>
      </c>
      <c r="G51" s="74"/>
      <c r="H51" s="74"/>
      <c r="I51" s="74"/>
    </row>
    <row r="52">
      <c r="A52" s="77">
        <v>9.0</v>
      </c>
      <c r="B52" s="74" t="s">
        <v>351</v>
      </c>
      <c r="C52" s="74" t="s">
        <v>352</v>
      </c>
      <c r="D52" s="74" t="s">
        <v>353</v>
      </c>
      <c r="E52" s="74"/>
      <c r="F52" s="72" t="s">
        <v>8</v>
      </c>
      <c r="G52" s="74"/>
      <c r="H52" s="74"/>
      <c r="I52" s="74"/>
    </row>
    <row r="53">
      <c r="A53" s="77">
        <v>10.0</v>
      </c>
      <c r="B53" s="74" t="s">
        <v>354</v>
      </c>
      <c r="C53" s="74" t="s">
        <v>355</v>
      </c>
      <c r="D53" s="74" t="s">
        <v>356</v>
      </c>
      <c r="E53" s="74"/>
      <c r="F53" s="72" t="s">
        <v>8</v>
      </c>
      <c r="G53" s="74"/>
      <c r="H53" s="74"/>
      <c r="I53" s="74"/>
    </row>
    <row r="54">
      <c r="A54" s="66" t="s">
        <v>26</v>
      </c>
      <c r="B54" s="67"/>
      <c r="C54" s="79"/>
      <c r="D54" s="79"/>
      <c r="E54" s="79"/>
      <c r="F54" s="79"/>
      <c r="G54" s="80"/>
      <c r="H54" s="80"/>
      <c r="I54" s="80"/>
    </row>
    <row r="55">
      <c r="A55" s="77">
        <v>1.0</v>
      </c>
      <c r="B55" s="74" t="s">
        <v>357</v>
      </c>
      <c r="C55" s="74" t="s">
        <v>358</v>
      </c>
      <c r="D55" s="74" t="s">
        <v>359</v>
      </c>
      <c r="E55" s="74"/>
      <c r="F55" s="72" t="s">
        <v>8</v>
      </c>
      <c r="G55" s="74"/>
      <c r="H55" s="74"/>
      <c r="I55" s="74"/>
    </row>
    <row r="56">
      <c r="A56" s="77">
        <v>2.0</v>
      </c>
      <c r="B56" s="74" t="s">
        <v>360</v>
      </c>
      <c r="C56" s="74" t="s">
        <v>361</v>
      </c>
      <c r="D56" s="74" t="s">
        <v>362</v>
      </c>
      <c r="E56" s="74"/>
      <c r="F56" s="72" t="s">
        <v>8</v>
      </c>
      <c r="G56" s="74"/>
      <c r="H56" s="74"/>
      <c r="I56" s="74"/>
    </row>
    <row r="57">
      <c r="A57" s="77">
        <v>3.0</v>
      </c>
      <c r="B57" s="74" t="s">
        <v>363</v>
      </c>
      <c r="C57" s="74" t="s">
        <v>364</v>
      </c>
      <c r="D57" s="74" t="s">
        <v>365</v>
      </c>
      <c r="E57" s="74"/>
      <c r="F57" s="72" t="s">
        <v>8</v>
      </c>
      <c r="G57" s="74"/>
      <c r="H57" s="81"/>
      <c r="I57" s="81"/>
    </row>
    <row r="58">
      <c r="A58" s="77">
        <v>4.0</v>
      </c>
      <c r="B58" s="74" t="s">
        <v>366</v>
      </c>
      <c r="C58" s="74" t="s">
        <v>367</v>
      </c>
      <c r="D58" s="74" t="s">
        <v>368</v>
      </c>
      <c r="E58" s="74"/>
      <c r="F58" s="72" t="s">
        <v>8</v>
      </c>
      <c r="G58" s="74"/>
      <c r="H58" s="81"/>
      <c r="I58" s="81"/>
    </row>
    <row r="59">
      <c r="A59" s="77">
        <v>5.0</v>
      </c>
      <c r="B59" s="74" t="s">
        <v>369</v>
      </c>
      <c r="C59" s="74" t="s">
        <v>370</v>
      </c>
      <c r="D59" s="74" t="s">
        <v>371</v>
      </c>
      <c r="E59" s="74"/>
      <c r="F59" s="72" t="s">
        <v>8</v>
      </c>
      <c r="G59" s="74"/>
      <c r="H59" s="81"/>
      <c r="I59" s="81"/>
    </row>
    <row r="60">
      <c r="A60" s="77">
        <v>6.0</v>
      </c>
      <c r="B60" s="74" t="s">
        <v>372</v>
      </c>
      <c r="C60" s="74" t="s">
        <v>373</v>
      </c>
      <c r="D60" s="74" t="s">
        <v>374</v>
      </c>
      <c r="E60" s="74"/>
      <c r="F60" s="72" t="s">
        <v>8</v>
      </c>
      <c r="G60" s="74"/>
      <c r="H60" s="81"/>
      <c r="I60" s="81"/>
    </row>
    <row r="61">
      <c r="A61" s="77">
        <v>7.0</v>
      </c>
      <c r="B61" s="74" t="s">
        <v>375</v>
      </c>
      <c r="C61" s="74" t="s">
        <v>376</v>
      </c>
      <c r="D61" s="74" t="s">
        <v>377</v>
      </c>
      <c r="E61" s="74"/>
      <c r="F61" s="72" t="s">
        <v>8</v>
      </c>
      <c r="G61" s="74"/>
      <c r="H61" s="81"/>
      <c r="I61" s="81"/>
    </row>
    <row r="62">
      <c r="A62" s="66" t="s">
        <v>29</v>
      </c>
      <c r="B62" s="67"/>
      <c r="C62" s="79"/>
      <c r="D62" s="79"/>
      <c r="E62" s="79"/>
      <c r="F62" s="79"/>
      <c r="G62" s="80"/>
      <c r="H62" s="80"/>
      <c r="I62" s="80"/>
    </row>
    <row r="63">
      <c r="A63" s="77">
        <v>1.0</v>
      </c>
      <c r="B63" s="74" t="s">
        <v>378</v>
      </c>
      <c r="C63" s="74" t="s">
        <v>379</v>
      </c>
      <c r="D63" s="74" t="s">
        <v>380</v>
      </c>
      <c r="E63" s="74"/>
      <c r="F63" s="72" t="s">
        <v>8</v>
      </c>
      <c r="G63" s="74"/>
      <c r="H63" s="74"/>
      <c r="I63" s="74"/>
    </row>
    <row r="64">
      <c r="A64" s="77">
        <v>2.0</v>
      </c>
      <c r="B64" s="74" t="s">
        <v>381</v>
      </c>
      <c r="C64" s="74" t="s">
        <v>364</v>
      </c>
      <c r="D64" s="74" t="s">
        <v>382</v>
      </c>
      <c r="E64" s="74"/>
      <c r="F64" s="72" t="s">
        <v>8</v>
      </c>
      <c r="G64" s="74"/>
      <c r="H64" s="81"/>
      <c r="I64" s="81"/>
    </row>
    <row r="65">
      <c r="A65" s="77">
        <v>3.0</v>
      </c>
      <c r="B65" s="74" t="s">
        <v>383</v>
      </c>
      <c r="C65" s="74" t="s">
        <v>384</v>
      </c>
      <c r="D65" s="74" t="s">
        <v>385</v>
      </c>
      <c r="E65" s="74"/>
      <c r="F65" s="72" t="s">
        <v>8</v>
      </c>
      <c r="G65" s="74"/>
      <c r="H65" s="81"/>
      <c r="I65" s="81"/>
    </row>
    <row r="66">
      <c r="A66" s="77">
        <v>4.0</v>
      </c>
      <c r="B66" s="74" t="s">
        <v>386</v>
      </c>
      <c r="C66" s="74" t="s">
        <v>387</v>
      </c>
      <c r="D66" s="74" t="s">
        <v>388</v>
      </c>
      <c r="E66" s="74"/>
      <c r="F66" s="72" t="s">
        <v>8</v>
      </c>
      <c r="G66" s="74"/>
      <c r="H66" s="81"/>
      <c r="I66" s="81"/>
    </row>
    <row r="67">
      <c r="A67" s="77">
        <v>5.0</v>
      </c>
      <c r="B67" s="74" t="s">
        <v>389</v>
      </c>
      <c r="C67" s="74" t="s">
        <v>390</v>
      </c>
      <c r="D67" s="74" t="s">
        <v>374</v>
      </c>
      <c r="E67" s="74"/>
      <c r="F67" s="72" t="s">
        <v>8</v>
      </c>
      <c r="G67" s="74"/>
      <c r="H67" s="81"/>
      <c r="I67" s="81"/>
    </row>
    <row r="68">
      <c r="A68" s="77">
        <v>6.0</v>
      </c>
      <c r="B68" s="74" t="s">
        <v>391</v>
      </c>
      <c r="C68" s="74" t="s">
        <v>392</v>
      </c>
      <c r="D68" s="74" t="s">
        <v>393</v>
      </c>
      <c r="E68" s="74"/>
      <c r="F68" s="72" t="s">
        <v>8</v>
      </c>
      <c r="G68" s="74"/>
      <c r="H68" s="81"/>
      <c r="I68" s="81"/>
    </row>
    <row r="69">
      <c r="A69" s="77">
        <v>7.0</v>
      </c>
      <c r="B69" s="74" t="s">
        <v>394</v>
      </c>
      <c r="C69" s="74" t="s">
        <v>395</v>
      </c>
      <c r="D69" s="74" t="s">
        <v>396</v>
      </c>
      <c r="E69" s="74"/>
      <c r="F69" s="72" t="s">
        <v>8</v>
      </c>
      <c r="G69" s="74"/>
      <c r="H69" s="82"/>
      <c r="I69" s="82"/>
    </row>
    <row r="70">
      <c r="A70" s="77">
        <v>8.0</v>
      </c>
      <c r="B70" s="74" t="s">
        <v>397</v>
      </c>
      <c r="C70" s="74" t="s">
        <v>398</v>
      </c>
      <c r="D70" s="74" t="s">
        <v>399</v>
      </c>
      <c r="E70" s="74"/>
      <c r="F70" s="72" t="s">
        <v>8</v>
      </c>
      <c r="G70" s="74"/>
      <c r="H70" s="82"/>
      <c r="I70" s="82"/>
    </row>
    <row r="71">
      <c r="A71" s="66" t="s">
        <v>32</v>
      </c>
      <c r="B71" s="67"/>
      <c r="C71" s="79"/>
      <c r="D71" s="79"/>
      <c r="E71" s="79"/>
      <c r="F71" s="79"/>
      <c r="G71" s="79"/>
      <c r="H71" s="79"/>
      <c r="I71" s="79"/>
    </row>
    <row r="72">
      <c r="A72" s="77">
        <v>1.0</v>
      </c>
      <c r="B72" s="71" t="s">
        <v>400</v>
      </c>
      <c r="C72" s="71" t="s">
        <v>401</v>
      </c>
      <c r="D72" s="71" t="s">
        <v>402</v>
      </c>
      <c r="E72" s="71"/>
      <c r="F72" s="72" t="s">
        <v>8</v>
      </c>
      <c r="G72" s="78"/>
      <c r="H72" s="74"/>
      <c r="I72" s="74"/>
    </row>
    <row r="73">
      <c r="A73" s="77">
        <v>2.0</v>
      </c>
      <c r="B73" s="71" t="s">
        <v>403</v>
      </c>
      <c r="C73" s="71" t="s">
        <v>404</v>
      </c>
      <c r="D73" s="71" t="s">
        <v>405</v>
      </c>
      <c r="E73" s="71"/>
      <c r="F73" s="72" t="s">
        <v>8</v>
      </c>
      <c r="G73" s="78"/>
      <c r="H73" s="74"/>
      <c r="I73" s="74"/>
    </row>
    <row r="74">
      <c r="A74" s="77">
        <v>3.0</v>
      </c>
      <c r="B74" s="71" t="s">
        <v>406</v>
      </c>
      <c r="C74" s="71" t="s">
        <v>407</v>
      </c>
      <c r="D74" s="71" t="s">
        <v>408</v>
      </c>
      <c r="E74" s="71"/>
      <c r="F74" s="72" t="s">
        <v>8</v>
      </c>
      <c r="G74" s="78"/>
      <c r="H74" s="74"/>
      <c r="I74" s="74"/>
    </row>
    <row r="75">
      <c r="A75" s="77">
        <v>4.0</v>
      </c>
      <c r="B75" s="71" t="s">
        <v>409</v>
      </c>
      <c r="C75" s="71" t="s">
        <v>410</v>
      </c>
      <c r="D75" s="71" t="s">
        <v>411</v>
      </c>
      <c r="E75" s="71"/>
      <c r="F75" s="72" t="s">
        <v>8</v>
      </c>
      <c r="G75" s="78"/>
      <c r="H75" s="74"/>
      <c r="I75" s="74"/>
    </row>
    <row r="76">
      <c r="A76" s="77">
        <v>5.0</v>
      </c>
      <c r="B76" s="71" t="s">
        <v>412</v>
      </c>
      <c r="C76" s="71" t="s">
        <v>413</v>
      </c>
      <c r="D76" s="71" t="s">
        <v>414</v>
      </c>
      <c r="E76" s="71"/>
      <c r="F76" s="72" t="s">
        <v>8</v>
      </c>
      <c r="G76" s="78"/>
      <c r="H76" s="74"/>
      <c r="I76" s="74"/>
    </row>
    <row r="77">
      <c r="A77" s="77">
        <v>6.0</v>
      </c>
      <c r="B77" s="71" t="s">
        <v>415</v>
      </c>
      <c r="C77" s="71" t="s">
        <v>416</v>
      </c>
      <c r="D77" s="71" t="s">
        <v>417</v>
      </c>
      <c r="E77" s="71"/>
      <c r="F77" s="72" t="s">
        <v>8</v>
      </c>
      <c r="G77" s="78"/>
      <c r="H77" s="74"/>
      <c r="I77" s="74"/>
    </row>
    <row r="78">
      <c r="A78" s="77">
        <v>7.0</v>
      </c>
      <c r="B78" s="71" t="s">
        <v>418</v>
      </c>
      <c r="C78" s="71" t="s">
        <v>419</v>
      </c>
      <c r="D78" s="71" t="s">
        <v>420</v>
      </c>
      <c r="E78" s="71"/>
      <c r="F78" s="72" t="s">
        <v>8</v>
      </c>
      <c r="G78" s="78"/>
      <c r="H78" s="74"/>
      <c r="I78" s="74"/>
    </row>
    <row r="79">
      <c r="A79" s="77">
        <v>8.0</v>
      </c>
      <c r="B79" s="71" t="s">
        <v>421</v>
      </c>
      <c r="C79" s="71" t="s">
        <v>422</v>
      </c>
      <c r="D79" s="71" t="s">
        <v>423</v>
      </c>
      <c r="E79" s="71"/>
      <c r="F79" s="72" t="s">
        <v>8</v>
      </c>
      <c r="G79" s="78"/>
      <c r="H79" s="74"/>
      <c r="I79" s="74"/>
    </row>
    <row r="80">
      <c r="A80" s="77">
        <v>9.0</v>
      </c>
      <c r="B80" s="71" t="s">
        <v>424</v>
      </c>
      <c r="C80" s="71" t="s">
        <v>425</v>
      </c>
      <c r="D80" s="71" t="s">
        <v>426</v>
      </c>
      <c r="E80" s="71"/>
      <c r="F80" s="72" t="s">
        <v>8</v>
      </c>
      <c r="G80" s="78"/>
      <c r="H80" s="74"/>
      <c r="I80" s="74"/>
    </row>
    <row r="81">
      <c r="A81" s="77">
        <v>10.0</v>
      </c>
      <c r="B81" s="71" t="s">
        <v>226</v>
      </c>
      <c r="C81" s="71" t="s">
        <v>427</v>
      </c>
      <c r="D81" s="71" t="s">
        <v>428</v>
      </c>
      <c r="E81" s="71"/>
      <c r="F81" s="72" t="s">
        <v>8</v>
      </c>
      <c r="G81" s="78"/>
      <c r="H81" s="74"/>
      <c r="I81" s="74"/>
    </row>
    <row r="82">
      <c r="A82" s="77">
        <v>11.0</v>
      </c>
      <c r="B82" s="71" t="s">
        <v>391</v>
      </c>
      <c r="C82" s="71" t="s">
        <v>429</v>
      </c>
      <c r="D82" s="71" t="s">
        <v>272</v>
      </c>
      <c r="E82" s="71"/>
      <c r="F82" s="72" t="s">
        <v>8</v>
      </c>
      <c r="G82" s="78"/>
      <c r="H82" s="74"/>
      <c r="I82" s="74"/>
    </row>
    <row r="83">
      <c r="A83" s="66" t="s">
        <v>19</v>
      </c>
      <c r="B83" s="67"/>
      <c r="C83" s="79"/>
      <c r="D83" s="79"/>
      <c r="E83" s="79"/>
      <c r="F83" s="79"/>
      <c r="G83" s="80"/>
      <c r="H83" s="80"/>
      <c r="I83" s="80"/>
    </row>
    <row r="84">
      <c r="A84" s="77">
        <v>1.0</v>
      </c>
      <c r="B84" s="74" t="s">
        <v>430</v>
      </c>
      <c r="C84" s="83" t="s">
        <v>431</v>
      </c>
      <c r="D84" s="83" t="s">
        <v>432</v>
      </c>
      <c r="E84" s="74"/>
      <c r="F84" s="72" t="s">
        <v>8</v>
      </c>
      <c r="G84" s="84"/>
      <c r="H84" s="74"/>
      <c r="I84" s="74"/>
    </row>
    <row r="85">
      <c r="A85" s="77">
        <v>2.0</v>
      </c>
      <c r="B85" s="74" t="s">
        <v>433</v>
      </c>
      <c r="C85" s="83" t="s">
        <v>434</v>
      </c>
      <c r="D85" s="83" t="s">
        <v>435</v>
      </c>
      <c r="E85" s="74"/>
      <c r="F85" s="72" t="s">
        <v>8</v>
      </c>
      <c r="G85" s="84"/>
      <c r="H85" s="74"/>
      <c r="I85" s="74"/>
    </row>
    <row r="86">
      <c r="A86" s="77">
        <v>3.0</v>
      </c>
      <c r="B86" s="74" t="s">
        <v>436</v>
      </c>
      <c r="C86" s="83" t="s">
        <v>437</v>
      </c>
      <c r="D86" s="83" t="s">
        <v>438</v>
      </c>
      <c r="E86" s="74"/>
      <c r="F86" s="72" t="s">
        <v>8</v>
      </c>
      <c r="G86" s="84"/>
      <c r="H86" s="74"/>
      <c r="I86" s="74"/>
    </row>
    <row r="87">
      <c r="A87" s="77">
        <v>4.0</v>
      </c>
      <c r="B87" s="74" t="s">
        <v>439</v>
      </c>
      <c r="C87" s="83" t="s">
        <v>440</v>
      </c>
      <c r="D87" s="83" t="s">
        <v>441</v>
      </c>
      <c r="E87" s="74"/>
      <c r="F87" s="72" t="s">
        <v>8</v>
      </c>
      <c r="G87" s="84"/>
      <c r="H87" s="74"/>
      <c r="I87" s="74"/>
    </row>
    <row r="88">
      <c r="A88" s="77">
        <v>5.0</v>
      </c>
      <c r="B88" s="74" t="s">
        <v>442</v>
      </c>
      <c r="C88" s="83" t="s">
        <v>443</v>
      </c>
      <c r="D88" s="83" t="s">
        <v>444</v>
      </c>
      <c r="E88" s="74"/>
      <c r="F88" s="72" t="s">
        <v>8</v>
      </c>
      <c r="G88" s="84"/>
      <c r="H88" s="74"/>
      <c r="I88" s="74"/>
    </row>
    <row r="89">
      <c r="A89" s="77">
        <v>6.0</v>
      </c>
      <c r="B89" s="74" t="s">
        <v>445</v>
      </c>
      <c r="C89" s="83" t="s">
        <v>446</v>
      </c>
      <c r="D89" s="83" t="s">
        <v>447</v>
      </c>
      <c r="E89" s="74"/>
      <c r="F89" s="72" t="s">
        <v>8</v>
      </c>
      <c r="G89" s="84"/>
      <c r="H89" s="74"/>
      <c r="I89" s="74"/>
    </row>
    <row r="90">
      <c r="A90" s="77">
        <v>7.0</v>
      </c>
      <c r="B90" s="74" t="s">
        <v>448</v>
      </c>
      <c r="C90" s="83" t="s">
        <v>449</v>
      </c>
      <c r="D90" s="83" t="s">
        <v>450</v>
      </c>
      <c r="E90" s="74"/>
      <c r="F90" s="72" t="s">
        <v>8</v>
      </c>
      <c r="G90" s="84"/>
      <c r="H90" s="74"/>
      <c r="I90" s="74"/>
    </row>
    <row r="91">
      <c r="A91" s="77">
        <v>8.0</v>
      </c>
      <c r="B91" s="74" t="s">
        <v>451</v>
      </c>
      <c r="C91" s="83" t="s">
        <v>452</v>
      </c>
      <c r="D91" s="83" t="s">
        <v>453</v>
      </c>
      <c r="E91" s="74"/>
      <c r="F91" s="72" t="s">
        <v>8</v>
      </c>
      <c r="G91" s="84"/>
      <c r="H91" s="74"/>
      <c r="I91" s="74"/>
    </row>
    <row r="92">
      <c r="A92" s="77">
        <v>9.0</v>
      </c>
      <c r="B92" s="74" t="s">
        <v>454</v>
      </c>
      <c r="C92" s="83" t="s">
        <v>455</v>
      </c>
      <c r="D92" s="83" t="s">
        <v>456</v>
      </c>
      <c r="E92" s="74"/>
      <c r="F92" s="72" t="s">
        <v>8</v>
      </c>
      <c r="G92" s="84"/>
      <c r="H92" s="74"/>
      <c r="I92" s="74"/>
    </row>
    <row r="93">
      <c r="A93" s="77">
        <v>10.0</v>
      </c>
      <c r="B93" s="74" t="s">
        <v>457</v>
      </c>
      <c r="C93" s="83" t="s">
        <v>458</v>
      </c>
      <c r="D93" s="83" t="s">
        <v>459</v>
      </c>
      <c r="E93" s="74"/>
      <c r="F93" s="72" t="s">
        <v>8</v>
      </c>
      <c r="G93" s="84"/>
      <c r="H93" s="74"/>
      <c r="I93" s="74"/>
    </row>
    <row r="94">
      <c r="A94" s="77">
        <v>11.0</v>
      </c>
      <c r="B94" s="74" t="s">
        <v>460</v>
      </c>
      <c r="C94" s="83" t="s">
        <v>461</v>
      </c>
      <c r="D94" s="83" t="s">
        <v>462</v>
      </c>
      <c r="E94" s="74"/>
      <c r="F94" s="72" t="s">
        <v>8</v>
      </c>
      <c r="G94" s="84"/>
      <c r="H94" s="81"/>
      <c r="I94" s="81"/>
    </row>
    <row r="95">
      <c r="A95" s="77">
        <v>12.0</v>
      </c>
      <c r="B95" s="74" t="s">
        <v>463</v>
      </c>
      <c r="C95" s="83" t="s">
        <v>464</v>
      </c>
      <c r="D95" s="83" t="s">
        <v>465</v>
      </c>
      <c r="E95" s="74"/>
      <c r="F95" s="72" t="s">
        <v>8</v>
      </c>
      <c r="G95" s="84"/>
      <c r="H95" s="74"/>
      <c r="I95" s="74"/>
    </row>
    <row r="96">
      <c r="A96" s="77">
        <v>13.0</v>
      </c>
      <c r="B96" s="74" t="s">
        <v>466</v>
      </c>
      <c r="C96" s="83" t="s">
        <v>467</v>
      </c>
      <c r="D96" s="85" t="s">
        <v>468</v>
      </c>
      <c r="E96" s="74"/>
      <c r="F96" s="72" t="s">
        <v>8</v>
      </c>
      <c r="G96" s="84"/>
      <c r="H96" s="74"/>
      <c r="I96" s="74"/>
    </row>
    <row r="97">
      <c r="A97" s="77">
        <v>14.0</v>
      </c>
      <c r="B97" s="74" t="s">
        <v>469</v>
      </c>
      <c r="C97" s="83" t="s">
        <v>470</v>
      </c>
      <c r="D97" s="83" t="s">
        <v>471</v>
      </c>
      <c r="E97" s="74"/>
      <c r="F97" s="72" t="s">
        <v>8</v>
      </c>
      <c r="G97" s="84"/>
      <c r="H97" s="74"/>
      <c r="I97" s="74"/>
    </row>
    <row r="98">
      <c r="A98" s="86">
        <v>15.0</v>
      </c>
      <c r="B98" s="81" t="s">
        <v>472</v>
      </c>
      <c r="C98" s="73" t="s">
        <v>473</v>
      </c>
      <c r="D98" s="73" t="s">
        <v>474</v>
      </c>
      <c r="E98" s="81"/>
      <c r="F98" s="72" t="s">
        <v>8</v>
      </c>
      <c r="G98" s="87"/>
      <c r="H98" s="74"/>
      <c r="I98" s="74"/>
    </row>
    <row r="99">
      <c r="A99" s="77">
        <v>16.0</v>
      </c>
      <c r="B99" s="74" t="s">
        <v>475</v>
      </c>
      <c r="C99" s="83" t="s">
        <v>476</v>
      </c>
      <c r="D99" s="83" t="s">
        <v>477</v>
      </c>
      <c r="E99" s="74"/>
      <c r="F99" s="72" t="s">
        <v>8</v>
      </c>
      <c r="G99" s="84"/>
      <c r="H99" s="74"/>
      <c r="I99" s="74"/>
    </row>
    <row r="100">
      <c r="A100" s="77">
        <v>17.0</v>
      </c>
      <c r="B100" s="74" t="s">
        <v>478</v>
      </c>
      <c r="C100" s="83" t="s">
        <v>479</v>
      </c>
      <c r="D100" s="83" t="s">
        <v>480</v>
      </c>
      <c r="E100" s="74"/>
      <c r="F100" s="72" t="s">
        <v>8</v>
      </c>
      <c r="G100" s="84"/>
      <c r="H100" s="74"/>
      <c r="I100" s="74"/>
    </row>
    <row r="101">
      <c r="A101" s="77">
        <v>18.0</v>
      </c>
      <c r="B101" s="74" t="s">
        <v>481</v>
      </c>
      <c r="C101" s="83" t="s">
        <v>482</v>
      </c>
      <c r="D101" s="83" t="s">
        <v>483</v>
      </c>
      <c r="E101" s="74"/>
      <c r="F101" s="72" t="s">
        <v>8</v>
      </c>
      <c r="G101" s="84"/>
      <c r="H101" s="74"/>
      <c r="I101" s="74"/>
    </row>
    <row r="102">
      <c r="A102" s="77">
        <v>19.0</v>
      </c>
      <c r="B102" s="74" t="s">
        <v>484</v>
      </c>
      <c r="C102" s="83" t="s">
        <v>485</v>
      </c>
      <c r="D102" s="83" t="s">
        <v>486</v>
      </c>
      <c r="E102" s="74"/>
      <c r="F102" s="72" t="s">
        <v>8</v>
      </c>
      <c r="G102" s="84"/>
      <c r="H102" s="74"/>
      <c r="I102" s="74"/>
    </row>
    <row r="103">
      <c r="A103" s="77">
        <v>20.0</v>
      </c>
      <c r="B103" s="74" t="s">
        <v>487</v>
      </c>
      <c r="C103" s="83" t="s">
        <v>488</v>
      </c>
      <c r="D103" s="83" t="s">
        <v>489</v>
      </c>
      <c r="E103" s="74"/>
      <c r="F103" s="72" t="s">
        <v>8</v>
      </c>
      <c r="G103" s="84"/>
      <c r="H103" s="74"/>
      <c r="I103" s="74"/>
    </row>
    <row r="104">
      <c r="A104" s="77">
        <v>21.0</v>
      </c>
      <c r="B104" s="74" t="s">
        <v>490</v>
      </c>
      <c r="C104" s="83" t="s">
        <v>464</v>
      </c>
      <c r="D104" s="83" t="s">
        <v>491</v>
      </c>
      <c r="E104" s="74"/>
      <c r="F104" s="72" t="s">
        <v>8</v>
      </c>
      <c r="G104" s="84"/>
      <c r="H104" s="74"/>
      <c r="I104" s="74"/>
    </row>
    <row r="105">
      <c r="A105" s="77">
        <v>22.0</v>
      </c>
      <c r="B105" s="74" t="s">
        <v>492</v>
      </c>
      <c r="C105" s="83" t="s">
        <v>493</v>
      </c>
      <c r="D105" s="83" t="s">
        <v>494</v>
      </c>
      <c r="E105" s="74"/>
      <c r="F105" s="72" t="s">
        <v>8</v>
      </c>
      <c r="G105" s="84"/>
      <c r="H105" s="74"/>
      <c r="I105" s="74"/>
    </row>
    <row r="106">
      <c r="A106" s="77">
        <v>23.0</v>
      </c>
      <c r="B106" s="74" t="s">
        <v>495</v>
      </c>
      <c r="C106" s="83" t="s">
        <v>496</v>
      </c>
      <c r="D106" s="83" t="s">
        <v>497</v>
      </c>
      <c r="E106" s="74"/>
      <c r="F106" s="72" t="s">
        <v>8</v>
      </c>
      <c r="G106" s="84"/>
      <c r="H106" s="81"/>
      <c r="I106" s="81"/>
    </row>
    <row r="107">
      <c r="A107" s="77">
        <v>24.0</v>
      </c>
      <c r="B107" s="74" t="s">
        <v>498</v>
      </c>
      <c r="C107" s="83" t="s">
        <v>499</v>
      </c>
      <c r="D107" s="83" t="s">
        <v>500</v>
      </c>
      <c r="E107" s="74"/>
      <c r="F107" s="72" t="s">
        <v>8</v>
      </c>
      <c r="G107" s="84"/>
      <c r="H107" s="81"/>
      <c r="I107" s="81"/>
    </row>
    <row r="108">
      <c r="A108" s="77">
        <v>25.0</v>
      </c>
      <c r="B108" s="74" t="s">
        <v>501</v>
      </c>
      <c r="C108" s="83" t="s">
        <v>502</v>
      </c>
      <c r="D108" s="83" t="s">
        <v>503</v>
      </c>
      <c r="E108" s="74"/>
      <c r="F108" s="72" t="s">
        <v>8</v>
      </c>
      <c r="G108" s="84"/>
      <c r="H108" s="81"/>
      <c r="I108" s="81"/>
    </row>
    <row r="109">
      <c r="A109" s="77">
        <v>26.0</v>
      </c>
      <c r="B109" s="74" t="s">
        <v>504</v>
      </c>
      <c r="C109" s="83" t="s">
        <v>505</v>
      </c>
      <c r="D109" s="83" t="s">
        <v>506</v>
      </c>
      <c r="E109" s="74"/>
      <c r="F109" s="72" t="s">
        <v>8</v>
      </c>
      <c r="G109" s="84"/>
      <c r="H109" s="81"/>
      <c r="I109" s="81"/>
    </row>
    <row r="110">
      <c r="A110" s="66" t="s">
        <v>507</v>
      </c>
      <c r="B110" s="67"/>
      <c r="C110" s="79"/>
      <c r="D110" s="79"/>
      <c r="E110" s="79"/>
      <c r="F110" s="79"/>
      <c r="G110" s="80"/>
      <c r="H110" s="80"/>
      <c r="I110" s="80"/>
    </row>
    <row r="111">
      <c r="A111" s="77">
        <v>1.0</v>
      </c>
      <c r="B111" s="74" t="s">
        <v>508</v>
      </c>
      <c r="C111" s="83" t="s">
        <v>509</v>
      </c>
      <c r="D111" s="83" t="s">
        <v>510</v>
      </c>
      <c r="E111" s="74"/>
      <c r="F111" s="72" t="s">
        <v>8</v>
      </c>
      <c r="G111" s="84"/>
      <c r="H111" s="74"/>
      <c r="I111" s="74"/>
    </row>
    <row r="112">
      <c r="A112" s="77">
        <v>2.0</v>
      </c>
      <c r="B112" s="74" t="s">
        <v>511</v>
      </c>
      <c r="C112" s="83" t="s">
        <v>512</v>
      </c>
      <c r="D112" s="83" t="s">
        <v>513</v>
      </c>
      <c r="E112" s="74"/>
      <c r="F112" s="72" t="s">
        <v>8</v>
      </c>
      <c r="G112" s="84"/>
      <c r="H112" s="74"/>
      <c r="I112" s="74"/>
    </row>
    <row r="113">
      <c r="A113" s="77">
        <v>3.0</v>
      </c>
      <c r="B113" s="74" t="s">
        <v>514</v>
      </c>
      <c r="C113" s="83" t="s">
        <v>515</v>
      </c>
      <c r="D113" s="83" t="s">
        <v>516</v>
      </c>
      <c r="E113" s="74"/>
      <c r="F113" s="72" t="s">
        <v>8</v>
      </c>
      <c r="G113" s="84"/>
      <c r="H113" s="78"/>
      <c r="I113" s="78"/>
    </row>
    <row r="114">
      <c r="A114" s="77">
        <v>4.0</v>
      </c>
      <c r="B114" s="74" t="s">
        <v>517</v>
      </c>
      <c r="C114" s="83" t="s">
        <v>518</v>
      </c>
      <c r="D114" s="83" t="s">
        <v>519</v>
      </c>
      <c r="E114" s="74" t="s">
        <v>241</v>
      </c>
      <c r="F114" s="75" t="s">
        <v>8</v>
      </c>
      <c r="G114" s="84"/>
      <c r="H114" s="76" t="s">
        <v>242</v>
      </c>
      <c r="I114" s="78"/>
    </row>
    <row r="115">
      <c r="A115" s="77">
        <v>5.0</v>
      </c>
      <c r="B115" s="74" t="s">
        <v>520</v>
      </c>
      <c r="C115" s="83" t="s">
        <v>521</v>
      </c>
      <c r="D115" s="83" t="s">
        <v>522</v>
      </c>
      <c r="E115" s="74"/>
      <c r="F115" s="72" t="s">
        <v>8</v>
      </c>
      <c r="G115" s="84"/>
      <c r="H115" s="78"/>
      <c r="I115" s="78"/>
    </row>
    <row r="116">
      <c r="A116" s="77">
        <v>6.0</v>
      </c>
      <c r="B116" s="74" t="s">
        <v>523</v>
      </c>
      <c r="C116" s="83" t="s">
        <v>524</v>
      </c>
      <c r="D116" s="83" t="s">
        <v>525</v>
      </c>
      <c r="E116" s="74"/>
      <c r="F116" s="72" t="s">
        <v>8</v>
      </c>
      <c r="G116" s="84"/>
      <c r="H116" s="78"/>
      <c r="I116" s="78"/>
    </row>
    <row r="117">
      <c r="A117" s="77">
        <v>7.0</v>
      </c>
      <c r="B117" s="74" t="s">
        <v>526</v>
      </c>
      <c r="C117" s="88" t="s">
        <v>527</v>
      </c>
      <c r="D117" s="74" t="s">
        <v>528</v>
      </c>
      <c r="E117" s="78"/>
      <c r="F117" s="72" t="s">
        <v>8</v>
      </c>
      <c r="G117" s="78"/>
      <c r="H117" s="78"/>
      <c r="I117" s="78"/>
    </row>
    <row r="118">
      <c r="A118" s="77">
        <v>8.0</v>
      </c>
      <c r="B118" s="74" t="s">
        <v>529</v>
      </c>
      <c r="C118" s="88" t="s">
        <v>530</v>
      </c>
      <c r="D118" s="74" t="s">
        <v>531</v>
      </c>
      <c r="E118" s="78"/>
      <c r="F118" s="72" t="s">
        <v>8</v>
      </c>
      <c r="G118" s="78"/>
      <c r="H118" s="78"/>
      <c r="I118" s="78"/>
    </row>
    <row r="119">
      <c r="A119" s="77">
        <v>9.0</v>
      </c>
      <c r="B119" s="74" t="s">
        <v>532</v>
      </c>
      <c r="C119" s="88" t="s">
        <v>533</v>
      </c>
      <c r="D119" s="74" t="s">
        <v>534</v>
      </c>
      <c r="E119" s="78"/>
      <c r="F119" s="72" t="s">
        <v>8</v>
      </c>
      <c r="G119" s="78"/>
      <c r="H119" s="78"/>
      <c r="I119" s="78"/>
    </row>
    <row r="120">
      <c r="A120" s="77">
        <v>10.0</v>
      </c>
      <c r="B120" s="74" t="s">
        <v>535</v>
      </c>
      <c r="C120" s="88" t="s">
        <v>536</v>
      </c>
      <c r="D120" s="74" t="s">
        <v>537</v>
      </c>
      <c r="E120" s="78"/>
      <c r="F120" s="72" t="s">
        <v>8</v>
      </c>
      <c r="G120" s="78"/>
      <c r="H120" s="78"/>
      <c r="I120" s="78"/>
    </row>
    <row r="121">
      <c r="A121" s="77">
        <v>11.0</v>
      </c>
      <c r="B121" s="74" t="s">
        <v>538</v>
      </c>
      <c r="C121" s="88" t="s">
        <v>539</v>
      </c>
      <c r="D121" s="74" t="s">
        <v>540</v>
      </c>
      <c r="E121" s="78"/>
      <c r="F121" s="72" t="s">
        <v>8</v>
      </c>
      <c r="G121" s="78"/>
      <c r="H121" s="74"/>
      <c r="I121" s="74"/>
    </row>
    <row r="122">
      <c r="A122" s="77">
        <v>12.0</v>
      </c>
      <c r="B122" s="74" t="s">
        <v>541</v>
      </c>
      <c r="C122" s="88" t="s">
        <v>542</v>
      </c>
      <c r="D122" s="74" t="s">
        <v>543</v>
      </c>
      <c r="E122" s="78"/>
      <c r="F122" s="72" t="s">
        <v>8</v>
      </c>
      <c r="G122" s="78"/>
      <c r="H122" s="74"/>
      <c r="I122" s="74"/>
    </row>
    <row r="123">
      <c r="A123" s="77">
        <v>13.0</v>
      </c>
      <c r="B123" s="74" t="s">
        <v>544</v>
      </c>
      <c r="C123" s="88" t="s">
        <v>545</v>
      </c>
      <c r="D123" s="74" t="s">
        <v>546</v>
      </c>
      <c r="E123" s="78"/>
      <c r="F123" s="72" t="s">
        <v>8</v>
      </c>
      <c r="G123" s="78"/>
      <c r="H123" s="74"/>
      <c r="I123" s="74"/>
    </row>
    <row r="124">
      <c r="A124" s="77">
        <v>14.0</v>
      </c>
      <c r="B124" s="74" t="s">
        <v>547</v>
      </c>
      <c r="C124" s="88" t="s">
        <v>548</v>
      </c>
      <c r="D124" s="74" t="s">
        <v>549</v>
      </c>
      <c r="E124" s="78"/>
      <c r="F124" s="72" t="s">
        <v>8</v>
      </c>
      <c r="G124" s="78"/>
      <c r="H124" s="74"/>
      <c r="I124" s="74"/>
    </row>
    <row r="125">
      <c r="A125" s="77">
        <v>15.0</v>
      </c>
      <c r="B125" s="74" t="s">
        <v>29</v>
      </c>
      <c r="C125" s="83" t="s">
        <v>550</v>
      </c>
      <c r="D125" s="83" t="s">
        <v>551</v>
      </c>
      <c r="E125" s="74"/>
      <c r="F125" s="72" t="s">
        <v>8</v>
      </c>
      <c r="G125" s="84"/>
      <c r="H125" s="74"/>
      <c r="I125" s="74"/>
    </row>
    <row r="126">
      <c r="A126" s="77">
        <v>16.0</v>
      </c>
      <c r="B126" s="74" t="s">
        <v>552</v>
      </c>
      <c r="C126" s="83" t="s">
        <v>553</v>
      </c>
      <c r="D126" s="83" t="s">
        <v>554</v>
      </c>
      <c r="E126" s="74"/>
      <c r="F126" s="72" t="s">
        <v>8</v>
      </c>
      <c r="G126" s="84"/>
      <c r="H126" s="74"/>
      <c r="I126" s="74"/>
    </row>
    <row r="127">
      <c r="A127" s="77">
        <v>17.0</v>
      </c>
      <c r="B127" s="74" t="s">
        <v>555</v>
      </c>
      <c r="C127" s="83" t="s">
        <v>556</v>
      </c>
      <c r="D127" s="83" t="s">
        <v>557</v>
      </c>
      <c r="E127" s="74"/>
      <c r="F127" s="72" t="s">
        <v>8</v>
      </c>
      <c r="G127" s="84"/>
      <c r="H127" s="74"/>
      <c r="I127" s="74"/>
    </row>
    <row r="128">
      <c r="A128" s="77">
        <v>18.0</v>
      </c>
      <c r="B128" s="74" t="s">
        <v>558</v>
      </c>
      <c r="C128" s="83" t="s">
        <v>559</v>
      </c>
      <c r="D128" s="83" t="s">
        <v>560</v>
      </c>
      <c r="E128" s="74"/>
      <c r="F128" s="72" t="s">
        <v>8</v>
      </c>
      <c r="G128" s="84"/>
      <c r="H128" s="74"/>
      <c r="I128" s="74"/>
    </row>
    <row r="129">
      <c r="A129" s="77">
        <v>19.0</v>
      </c>
      <c r="B129" s="74" t="s">
        <v>561</v>
      </c>
      <c r="C129" s="83" t="s">
        <v>562</v>
      </c>
      <c r="D129" s="83" t="s">
        <v>563</v>
      </c>
      <c r="E129" s="74"/>
      <c r="F129" s="72" t="s">
        <v>8</v>
      </c>
      <c r="G129" s="84"/>
      <c r="H129" s="74"/>
      <c r="I129" s="74"/>
    </row>
    <row r="130">
      <c r="A130" s="77">
        <v>20.0</v>
      </c>
      <c r="B130" s="89" t="s">
        <v>564</v>
      </c>
      <c r="C130" s="89" t="s">
        <v>565</v>
      </c>
      <c r="D130" s="89" t="s">
        <v>566</v>
      </c>
      <c r="E130" s="71"/>
      <c r="F130" s="90" t="s">
        <v>8</v>
      </c>
      <c r="G130" s="71"/>
      <c r="H130" s="71"/>
      <c r="I130" s="71"/>
    </row>
    <row r="131">
      <c r="A131" s="77">
        <v>21.0</v>
      </c>
      <c r="B131" s="74" t="s">
        <v>567</v>
      </c>
      <c r="C131" s="83" t="s">
        <v>568</v>
      </c>
      <c r="D131" s="83" t="s">
        <v>569</v>
      </c>
      <c r="E131" s="74"/>
      <c r="F131" s="72" t="s">
        <v>8</v>
      </c>
      <c r="G131" s="84"/>
      <c r="H131" s="74"/>
      <c r="I131" s="74"/>
    </row>
    <row r="132">
      <c r="A132" s="77">
        <v>22.0</v>
      </c>
      <c r="B132" s="71" t="s">
        <v>570</v>
      </c>
      <c r="C132" s="71" t="s">
        <v>571</v>
      </c>
      <c r="D132" s="71" t="s">
        <v>572</v>
      </c>
      <c r="E132" s="71"/>
      <c r="F132" s="72" t="s">
        <v>8</v>
      </c>
      <c r="G132" s="71"/>
      <c r="H132" s="71"/>
      <c r="I132" s="71"/>
    </row>
    <row r="133">
      <c r="A133" s="66" t="s">
        <v>40</v>
      </c>
      <c r="B133" s="67"/>
      <c r="C133" s="79"/>
      <c r="D133" s="79"/>
      <c r="E133" s="79"/>
      <c r="F133" s="79"/>
      <c r="G133" s="80"/>
      <c r="H133" s="80"/>
      <c r="I133" s="80"/>
    </row>
    <row r="134">
      <c r="A134" s="77">
        <v>1.0</v>
      </c>
      <c r="B134" s="74" t="s">
        <v>573</v>
      </c>
      <c r="C134" s="83" t="s">
        <v>574</v>
      </c>
      <c r="D134" s="83" t="s">
        <v>575</v>
      </c>
      <c r="E134" s="74"/>
      <c r="F134" s="72" t="s">
        <v>8</v>
      </c>
      <c r="G134" s="84"/>
      <c r="H134" s="81"/>
      <c r="I134" s="81"/>
    </row>
    <row r="135">
      <c r="A135" s="77">
        <v>2.0</v>
      </c>
      <c r="B135" s="74" t="s">
        <v>576</v>
      </c>
      <c r="C135" s="83" t="s">
        <v>577</v>
      </c>
      <c r="D135" s="83" t="s">
        <v>578</v>
      </c>
      <c r="E135" s="74"/>
      <c r="F135" s="72" t="s">
        <v>8</v>
      </c>
      <c r="G135" s="84"/>
      <c r="H135" s="74"/>
      <c r="I135" s="74"/>
    </row>
    <row r="136">
      <c r="A136" s="77">
        <v>3.0</v>
      </c>
      <c r="B136" s="74" t="s">
        <v>579</v>
      </c>
      <c r="C136" s="83" t="s">
        <v>580</v>
      </c>
      <c r="D136" s="83" t="s">
        <v>581</v>
      </c>
      <c r="E136" s="74"/>
      <c r="F136" s="72" t="s">
        <v>8</v>
      </c>
      <c r="G136" s="84"/>
      <c r="H136" s="74"/>
      <c r="I136" s="74"/>
    </row>
    <row r="137">
      <c r="A137" s="77">
        <v>4.0</v>
      </c>
      <c r="B137" s="74" t="s">
        <v>582</v>
      </c>
      <c r="C137" s="83" t="s">
        <v>583</v>
      </c>
      <c r="D137" s="83" t="s">
        <v>584</v>
      </c>
      <c r="E137" s="74"/>
      <c r="F137" s="72" t="s">
        <v>8</v>
      </c>
      <c r="G137" s="84"/>
      <c r="H137" s="74"/>
      <c r="I137" s="74"/>
    </row>
    <row r="138">
      <c r="A138" s="77">
        <v>5.0</v>
      </c>
      <c r="B138" s="74" t="s">
        <v>585</v>
      </c>
      <c r="C138" s="83" t="s">
        <v>586</v>
      </c>
      <c r="D138" s="83" t="s">
        <v>587</v>
      </c>
      <c r="E138" s="74"/>
      <c r="F138" s="72" t="s">
        <v>8</v>
      </c>
      <c r="G138" s="84"/>
      <c r="H138" s="83"/>
      <c r="I138" s="83"/>
    </row>
    <row r="139">
      <c r="A139" s="77">
        <v>6.0</v>
      </c>
      <c r="B139" s="74" t="s">
        <v>588</v>
      </c>
      <c r="C139" s="83" t="s">
        <v>589</v>
      </c>
      <c r="D139" s="83" t="s">
        <v>590</v>
      </c>
      <c r="E139" s="74"/>
      <c r="F139" s="72" t="s">
        <v>8</v>
      </c>
      <c r="G139" s="84"/>
      <c r="H139" s="74"/>
      <c r="I139" s="74"/>
    </row>
    <row r="140">
      <c r="A140" s="77">
        <v>7.0</v>
      </c>
      <c r="B140" s="74" t="s">
        <v>591</v>
      </c>
      <c r="C140" s="83" t="s">
        <v>592</v>
      </c>
      <c r="D140" s="83" t="s">
        <v>593</v>
      </c>
      <c r="E140" s="74"/>
      <c r="F140" s="72" t="s">
        <v>8</v>
      </c>
      <c r="G140" s="84"/>
      <c r="H140" s="74"/>
      <c r="I140" s="74"/>
    </row>
    <row r="141">
      <c r="A141" s="77">
        <v>8.0</v>
      </c>
      <c r="B141" s="74" t="s">
        <v>594</v>
      </c>
      <c r="C141" s="83" t="s">
        <v>595</v>
      </c>
      <c r="D141" s="83" t="s">
        <v>596</v>
      </c>
      <c r="E141" s="74"/>
      <c r="F141" s="72" t="s">
        <v>8</v>
      </c>
      <c r="G141" s="84"/>
      <c r="H141" s="74"/>
      <c r="I141" s="74"/>
    </row>
    <row r="142">
      <c r="A142" s="77">
        <v>9.0</v>
      </c>
      <c r="B142" s="74" t="s">
        <v>597</v>
      </c>
      <c r="C142" s="83" t="s">
        <v>598</v>
      </c>
      <c r="D142" s="83" t="s">
        <v>599</v>
      </c>
      <c r="E142" s="74"/>
      <c r="F142" s="72" t="s">
        <v>8</v>
      </c>
      <c r="G142" s="84"/>
      <c r="H142" s="74"/>
      <c r="I142" s="74"/>
    </row>
    <row r="143">
      <c r="A143" s="77">
        <v>10.0</v>
      </c>
      <c r="B143" s="74" t="s">
        <v>600</v>
      </c>
      <c r="C143" s="74" t="s">
        <v>601</v>
      </c>
      <c r="D143" s="74" t="s">
        <v>602</v>
      </c>
      <c r="E143" s="74"/>
      <c r="F143" s="72" t="s">
        <v>8</v>
      </c>
      <c r="G143" s="74"/>
      <c r="H143" s="74"/>
      <c r="I143" s="74"/>
    </row>
    <row r="144">
      <c r="A144" s="77">
        <v>11.0</v>
      </c>
      <c r="B144" s="74" t="s">
        <v>603</v>
      </c>
      <c r="C144" s="74" t="s">
        <v>604</v>
      </c>
      <c r="D144" s="74" t="s">
        <v>605</v>
      </c>
      <c r="E144" s="74"/>
      <c r="F144" s="72" t="s">
        <v>8</v>
      </c>
      <c r="G144" s="74"/>
      <c r="H144" s="74"/>
      <c r="I144" s="74"/>
    </row>
    <row r="145">
      <c r="A145" s="77">
        <v>12.0</v>
      </c>
      <c r="B145" s="74" t="s">
        <v>606</v>
      </c>
      <c r="C145" s="74" t="s">
        <v>559</v>
      </c>
      <c r="D145" s="74" t="s">
        <v>607</v>
      </c>
      <c r="E145" s="74"/>
      <c r="F145" s="72" t="s">
        <v>8</v>
      </c>
      <c r="G145" s="74"/>
      <c r="H145" s="74"/>
      <c r="I145" s="74"/>
    </row>
    <row r="146">
      <c r="A146" s="77">
        <v>13.0</v>
      </c>
      <c r="B146" s="71" t="s">
        <v>570</v>
      </c>
      <c r="C146" s="71" t="s">
        <v>608</v>
      </c>
      <c r="D146" s="71" t="s">
        <v>572</v>
      </c>
      <c r="E146" s="71"/>
      <c r="F146" s="72" t="s">
        <v>8</v>
      </c>
      <c r="G146" s="71"/>
      <c r="H146" s="71"/>
      <c r="I146" s="71"/>
    </row>
    <row r="147">
      <c r="A147" s="77">
        <v>15.0</v>
      </c>
      <c r="B147" s="74" t="s">
        <v>609</v>
      </c>
      <c r="C147" s="74" t="s">
        <v>610</v>
      </c>
      <c r="D147" s="74" t="s">
        <v>611</v>
      </c>
      <c r="E147" s="74"/>
      <c r="F147" s="72" t="s">
        <v>8</v>
      </c>
      <c r="G147" s="74"/>
      <c r="H147" s="74"/>
      <c r="I147" s="74"/>
    </row>
    <row r="148">
      <c r="A148" s="66" t="s">
        <v>612</v>
      </c>
      <c r="B148" s="91"/>
      <c r="C148" s="91"/>
      <c r="D148" s="67"/>
      <c r="E148" s="79"/>
      <c r="F148" s="79"/>
      <c r="G148" s="80"/>
      <c r="H148" s="80"/>
      <c r="I148" s="80"/>
    </row>
    <row r="149">
      <c r="A149" s="77">
        <v>1.0</v>
      </c>
      <c r="B149" s="74" t="s">
        <v>613</v>
      </c>
      <c r="C149" s="83" t="s">
        <v>614</v>
      </c>
      <c r="D149" s="83" t="s">
        <v>615</v>
      </c>
      <c r="E149" s="74"/>
      <c r="F149" s="72" t="s">
        <v>8</v>
      </c>
      <c r="G149" s="84"/>
      <c r="H149" s="81"/>
      <c r="I149" s="81"/>
    </row>
    <row r="150">
      <c r="A150" s="77">
        <v>2.0</v>
      </c>
      <c r="B150" s="74" t="s">
        <v>616</v>
      </c>
      <c r="C150" s="83" t="s">
        <v>617</v>
      </c>
      <c r="D150" s="83" t="s">
        <v>618</v>
      </c>
      <c r="E150" s="74"/>
      <c r="F150" s="72" t="s">
        <v>8</v>
      </c>
      <c r="G150" s="84"/>
      <c r="H150" s="81"/>
      <c r="I150" s="81"/>
    </row>
    <row r="151">
      <c r="A151" s="77">
        <v>3.0</v>
      </c>
      <c r="B151" s="74" t="s">
        <v>619</v>
      </c>
      <c r="C151" s="83" t="s">
        <v>620</v>
      </c>
      <c r="D151" s="83" t="s">
        <v>621</v>
      </c>
      <c r="E151" s="74"/>
      <c r="F151" s="72" t="s">
        <v>8</v>
      </c>
      <c r="G151" s="84"/>
      <c r="H151" s="74"/>
      <c r="I151" s="74"/>
    </row>
    <row r="152">
      <c r="A152" s="77">
        <v>4.0</v>
      </c>
      <c r="B152" s="74" t="s">
        <v>622</v>
      </c>
      <c r="C152" s="83" t="s">
        <v>623</v>
      </c>
      <c r="D152" s="83" t="s">
        <v>624</v>
      </c>
      <c r="E152" s="74"/>
      <c r="F152" s="72" t="s">
        <v>8</v>
      </c>
      <c r="G152" s="84"/>
      <c r="H152" s="74"/>
      <c r="I152" s="74"/>
    </row>
    <row r="153">
      <c r="A153" s="77">
        <v>5.0</v>
      </c>
      <c r="B153" s="74" t="s">
        <v>625</v>
      </c>
      <c r="C153" s="83" t="s">
        <v>626</v>
      </c>
      <c r="D153" s="83" t="s">
        <v>627</v>
      </c>
      <c r="E153" s="74"/>
      <c r="F153" s="72" t="s">
        <v>8</v>
      </c>
      <c r="G153" s="84"/>
      <c r="H153" s="83"/>
      <c r="I153" s="83"/>
    </row>
    <row r="154">
      <c r="A154" s="77">
        <v>6.0</v>
      </c>
      <c r="B154" s="74" t="s">
        <v>628</v>
      </c>
      <c r="C154" s="83" t="s">
        <v>629</v>
      </c>
      <c r="D154" s="83" t="s">
        <v>630</v>
      </c>
      <c r="E154" s="74"/>
      <c r="F154" s="72" t="s">
        <v>8</v>
      </c>
      <c r="G154" s="84"/>
      <c r="H154" s="74"/>
      <c r="I154" s="74"/>
    </row>
    <row r="155">
      <c r="A155" s="77">
        <v>7.0</v>
      </c>
      <c r="B155" s="74" t="s">
        <v>631</v>
      </c>
      <c r="C155" s="83" t="s">
        <v>632</v>
      </c>
      <c r="D155" s="83" t="s">
        <v>633</v>
      </c>
      <c r="E155" s="74"/>
      <c r="F155" s="72" t="s">
        <v>8</v>
      </c>
      <c r="G155" s="84"/>
      <c r="H155" s="74"/>
      <c r="I155" s="74"/>
    </row>
    <row r="156">
      <c r="A156" s="77">
        <v>8.0</v>
      </c>
      <c r="B156" s="74" t="s">
        <v>634</v>
      </c>
      <c r="C156" s="83" t="s">
        <v>635</v>
      </c>
      <c r="D156" s="83" t="s">
        <v>636</v>
      </c>
      <c r="E156" s="74"/>
      <c r="F156" s="72" t="s">
        <v>8</v>
      </c>
      <c r="G156" s="84"/>
      <c r="H156" s="74"/>
      <c r="I156" s="74"/>
    </row>
    <row r="157">
      <c r="A157" s="77">
        <v>9.0</v>
      </c>
      <c r="B157" s="74" t="s">
        <v>637</v>
      </c>
      <c r="C157" s="83" t="s">
        <v>638</v>
      </c>
      <c r="D157" s="83" t="s">
        <v>639</v>
      </c>
      <c r="E157" s="74"/>
      <c r="F157" s="72" t="s">
        <v>8</v>
      </c>
      <c r="G157" s="84"/>
      <c r="H157" s="74"/>
      <c r="I157" s="74"/>
    </row>
    <row r="158">
      <c r="A158" s="77">
        <v>10.0</v>
      </c>
      <c r="B158" s="74" t="s">
        <v>640</v>
      </c>
      <c r="C158" s="83" t="s">
        <v>641</v>
      </c>
      <c r="D158" s="83" t="s">
        <v>642</v>
      </c>
      <c r="E158" s="74"/>
      <c r="F158" s="72" t="s">
        <v>8</v>
      </c>
      <c r="G158" s="84"/>
      <c r="H158" s="74"/>
      <c r="I158" s="74"/>
    </row>
    <row r="159">
      <c r="A159" s="77">
        <v>11.0</v>
      </c>
      <c r="B159" s="74" t="s">
        <v>643</v>
      </c>
      <c r="C159" s="83" t="s">
        <v>644</v>
      </c>
      <c r="D159" s="83" t="s">
        <v>645</v>
      </c>
      <c r="E159" s="74"/>
      <c r="F159" s="72" t="s">
        <v>8</v>
      </c>
      <c r="G159" s="84"/>
      <c r="H159" s="74"/>
      <c r="I159" s="74"/>
    </row>
    <row r="160">
      <c r="A160" s="77">
        <v>12.0</v>
      </c>
      <c r="B160" s="74" t="s">
        <v>646</v>
      </c>
      <c r="C160" s="83" t="s">
        <v>647</v>
      </c>
      <c r="D160" s="83" t="s">
        <v>648</v>
      </c>
      <c r="E160" s="74"/>
      <c r="F160" s="72" t="s">
        <v>8</v>
      </c>
      <c r="G160" s="84"/>
      <c r="H160" s="74"/>
      <c r="I160" s="74"/>
    </row>
    <row r="161">
      <c r="A161" s="77">
        <v>13.0</v>
      </c>
      <c r="B161" s="74" t="s">
        <v>649</v>
      </c>
      <c r="C161" s="83" t="s">
        <v>650</v>
      </c>
      <c r="D161" s="83" t="s">
        <v>651</v>
      </c>
      <c r="E161" s="74"/>
      <c r="F161" s="72" t="s">
        <v>8</v>
      </c>
      <c r="G161" s="84"/>
      <c r="H161" s="74"/>
      <c r="I161" s="74"/>
    </row>
    <row r="162">
      <c r="A162" s="77">
        <v>14.0</v>
      </c>
      <c r="B162" s="74" t="s">
        <v>652</v>
      </c>
      <c r="C162" s="83" t="s">
        <v>653</v>
      </c>
      <c r="D162" s="83" t="s">
        <v>654</v>
      </c>
      <c r="E162" s="74"/>
      <c r="F162" s="72" t="s">
        <v>8</v>
      </c>
      <c r="G162" s="84"/>
      <c r="H162" s="74"/>
      <c r="I162" s="74"/>
    </row>
    <row r="163">
      <c r="A163" s="77">
        <v>15.0</v>
      </c>
      <c r="B163" s="71" t="s">
        <v>570</v>
      </c>
      <c r="C163" s="71" t="s">
        <v>655</v>
      </c>
      <c r="D163" s="71" t="s">
        <v>572</v>
      </c>
      <c r="E163" s="71"/>
      <c r="F163" s="92" t="s">
        <v>8</v>
      </c>
      <c r="G163" s="71"/>
      <c r="H163" s="71"/>
      <c r="I163" s="71"/>
    </row>
    <row r="164">
      <c r="A164" s="66" t="s">
        <v>656</v>
      </c>
      <c r="B164" s="91"/>
      <c r="C164" s="91"/>
      <c r="D164" s="67"/>
      <c r="E164" s="79"/>
      <c r="F164" s="79"/>
      <c r="G164" s="80"/>
      <c r="H164" s="80"/>
      <c r="I164" s="80"/>
    </row>
    <row r="165">
      <c r="A165" s="77">
        <v>1.0</v>
      </c>
      <c r="B165" s="74" t="s">
        <v>657</v>
      </c>
      <c r="C165" s="83" t="s">
        <v>658</v>
      </c>
      <c r="D165" s="83" t="s">
        <v>659</v>
      </c>
      <c r="E165" s="74"/>
      <c r="F165" s="72" t="s">
        <v>8</v>
      </c>
      <c r="G165" s="73"/>
      <c r="H165" s="73"/>
      <c r="I165" s="73"/>
    </row>
    <row r="166">
      <c r="A166" s="77">
        <v>2.0</v>
      </c>
      <c r="B166" s="74" t="s">
        <v>660</v>
      </c>
      <c r="C166" s="83" t="s">
        <v>661</v>
      </c>
      <c r="D166" s="83" t="s">
        <v>662</v>
      </c>
      <c r="E166" s="74"/>
      <c r="F166" s="72" t="s">
        <v>8</v>
      </c>
      <c r="G166" s="87"/>
      <c r="H166" s="81"/>
      <c r="I166" s="81"/>
    </row>
    <row r="167">
      <c r="A167" s="77">
        <v>3.0</v>
      </c>
      <c r="B167" s="74" t="s">
        <v>663</v>
      </c>
      <c r="C167" s="83" t="s">
        <v>664</v>
      </c>
      <c r="D167" s="83" t="s">
        <v>374</v>
      </c>
      <c r="E167" s="74"/>
      <c r="F167" s="72" t="s">
        <v>8</v>
      </c>
      <c r="G167" s="84"/>
      <c r="H167" s="74"/>
      <c r="I167" s="74"/>
    </row>
    <row r="168">
      <c r="A168" s="77">
        <v>4.0</v>
      </c>
      <c r="B168" s="74" t="s">
        <v>665</v>
      </c>
      <c r="C168" s="83" t="s">
        <v>666</v>
      </c>
      <c r="D168" s="83" t="s">
        <v>624</v>
      </c>
      <c r="E168" s="74"/>
      <c r="F168" s="72" t="s">
        <v>8</v>
      </c>
      <c r="G168" s="84"/>
      <c r="H168" s="74"/>
      <c r="I168" s="74"/>
    </row>
    <row r="169">
      <c r="A169" s="77">
        <v>5.0</v>
      </c>
      <c r="B169" s="74" t="s">
        <v>667</v>
      </c>
      <c r="C169" s="83" t="s">
        <v>668</v>
      </c>
      <c r="D169" s="83" t="s">
        <v>669</v>
      </c>
      <c r="E169" s="74"/>
      <c r="F169" s="72" t="s">
        <v>8</v>
      </c>
      <c r="G169" s="84"/>
      <c r="H169" s="83"/>
      <c r="I169" s="83"/>
    </row>
    <row r="170">
      <c r="A170" s="77">
        <v>6.0</v>
      </c>
      <c r="B170" s="74" t="s">
        <v>670</v>
      </c>
      <c r="C170" s="83" t="s">
        <v>671</v>
      </c>
      <c r="D170" s="83" t="s">
        <v>672</v>
      </c>
      <c r="E170" s="74"/>
      <c r="F170" s="72" t="s">
        <v>8</v>
      </c>
      <c r="G170" s="84"/>
      <c r="H170" s="74"/>
      <c r="I170" s="74"/>
    </row>
    <row r="171">
      <c r="A171" s="77">
        <v>7.0</v>
      </c>
      <c r="B171" s="74" t="s">
        <v>673</v>
      </c>
      <c r="C171" s="83" t="s">
        <v>674</v>
      </c>
      <c r="D171" s="83" t="s">
        <v>675</v>
      </c>
      <c r="E171" s="74"/>
      <c r="F171" s="72" t="s">
        <v>8</v>
      </c>
      <c r="G171" s="84"/>
      <c r="H171" s="74"/>
      <c r="I171" s="74"/>
    </row>
    <row r="172">
      <c r="A172" s="77">
        <v>8.0</v>
      </c>
      <c r="B172" s="74" t="s">
        <v>676</v>
      </c>
      <c r="C172" s="74" t="s">
        <v>677</v>
      </c>
      <c r="D172" s="74" t="s">
        <v>678</v>
      </c>
      <c r="E172" s="74"/>
      <c r="F172" s="72" t="s">
        <v>8</v>
      </c>
      <c r="G172" s="74"/>
      <c r="H172" s="74"/>
      <c r="I172" s="74"/>
    </row>
    <row r="173">
      <c r="A173" s="77">
        <v>9.0</v>
      </c>
      <c r="B173" s="74" t="s">
        <v>679</v>
      </c>
      <c r="C173" s="74" t="s">
        <v>680</v>
      </c>
      <c r="D173" s="74" t="s">
        <v>681</v>
      </c>
      <c r="E173" s="74"/>
      <c r="F173" s="72" t="s">
        <v>8</v>
      </c>
      <c r="G173" s="74"/>
      <c r="H173" s="74"/>
      <c r="I173" s="74"/>
    </row>
    <row r="174">
      <c r="A174" s="77">
        <v>10.0</v>
      </c>
      <c r="B174" s="74" t="s">
        <v>682</v>
      </c>
      <c r="C174" s="74" t="s">
        <v>683</v>
      </c>
      <c r="D174" s="74" t="s">
        <v>684</v>
      </c>
      <c r="E174" s="74"/>
      <c r="F174" s="72" t="s">
        <v>8</v>
      </c>
      <c r="G174" s="74"/>
      <c r="H174" s="74"/>
      <c r="I174" s="74"/>
    </row>
    <row r="175">
      <c r="A175" s="77">
        <v>11.0</v>
      </c>
      <c r="B175" s="71" t="s">
        <v>570</v>
      </c>
      <c r="C175" s="71" t="s">
        <v>685</v>
      </c>
      <c r="D175" s="71" t="s">
        <v>572</v>
      </c>
      <c r="E175" s="71"/>
      <c r="F175" s="92" t="s">
        <v>8</v>
      </c>
      <c r="G175" s="71"/>
      <c r="H175" s="71"/>
      <c r="I175" s="71"/>
    </row>
    <row r="176">
      <c r="A176" s="66" t="s">
        <v>686</v>
      </c>
      <c r="B176" s="91"/>
      <c r="C176" s="91"/>
      <c r="D176" s="67"/>
      <c r="E176" s="79"/>
      <c r="F176" s="79"/>
      <c r="G176" s="80"/>
      <c r="H176" s="80"/>
      <c r="I176" s="80"/>
    </row>
    <row r="177">
      <c r="A177" s="77">
        <v>1.0</v>
      </c>
      <c r="B177" s="74" t="s">
        <v>687</v>
      </c>
      <c r="C177" s="83" t="s">
        <v>688</v>
      </c>
      <c r="D177" s="83" t="s">
        <v>689</v>
      </c>
      <c r="E177" s="74"/>
      <c r="F177" s="72" t="s">
        <v>8</v>
      </c>
      <c r="G177" s="84"/>
      <c r="H177" s="81"/>
      <c r="I177" s="81"/>
    </row>
    <row r="178">
      <c r="A178" s="77">
        <v>2.0</v>
      </c>
      <c r="B178" s="74" t="s">
        <v>690</v>
      </c>
      <c r="C178" s="83" t="s">
        <v>691</v>
      </c>
      <c r="D178" s="83" t="s">
        <v>692</v>
      </c>
      <c r="E178" s="74"/>
      <c r="F178" s="72" t="s">
        <v>8</v>
      </c>
      <c r="G178" s="84"/>
      <c r="H178" s="74"/>
      <c r="I178" s="74"/>
    </row>
    <row r="179">
      <c r="A179" s="77">
        <v>3.0</v>
      </c>
      <c r="B179" s="74" t="s">
        <v>693</v>
      </c>
      <c r="C179" s="83" t="s">
        <v>694</v>
      </c>
      <c r="D179" s="83" t="s">
        <v>695</v>
      </c>
      <c r="E179" s="74"/>
      <c r="F179" s="72" t="s">
        <v>8</v>
      </c>
      <c r="G179" s="84"/>
      <c r="H179" s="74"/>
      <c r="I179" s="74"/>
    </row>
    <row r="180">
      <c r="A180" s="77">
        <v>4.0</v>
      </c>
      <c r="B180" s="74" t="s">
        <v>696</v>
      </c>
      <c r="C180" s="83" t="s">
        <v>697</v>
      </c>
      <c r="D180" s="83" t="s">
        <v>698</v>
      </c>
      <c r="E180" s="74" t="s">
        <v>241</v>
      </c>
      <c r="F180" s="75" t="s">
        <v>8</v>
      </c>
      <c r="G180" s="84"/>
      <c r="H180" s="76" t="s">
        <v>242</v>
      </c>
      <c r="I180" s="74"/>
    </row>
    <row r="181">
      <c r="A181" s="77">
        <v>5.0</v>
      </c>
      <c r="B181" s="74" t="s">
        <v>699</v>
      </c>
      <c r="C181" s="83" t="s">
        <v>700</v>
      </c>
      <c r="D181" s="83" t="s">
        <v>698</v>
      </c>
      <c r="E181" s="74" t="s">
        <v>701</v>
      </c>
      <c r="F181" s="75" t="s">
        <v>8</v>
      </c>
      <c r="G181" s="84"/>
      <c r="H181" s="93" t="s">
        <v>702</v>
      </c>
      <c r="I181" s="83"/>
    </row>
    <row r="182">
      <c r="A182" s="77">
        <v>6.0</v>
      </c>
      <c r="B182" s="74" t="s">
        <v>703</v>
      </c>
      <c r="C182" s="83" t="s">
        <v>704</v>
      </c>
      <c r="D182" s="83" t="s">
        <v>705</v>
      </c>
      <c r="E182" s="74"/>
      <c r="F182" s="72" t="s">
        <v>8</v>
      </c>
      <c r="G182" s="84"/>
      <c r="H182" s="74"/>
      <c r="I182" s="74"/>
    </row>
    <row r="183">
      <c r="A183" s="77">
        <v>7.0</v>
      </c>
      <c r="B183" s="74" t="s">
        <v>706</v>
      </c>
      <c r="C183" s="83" t="s">
        <v>707</v>
      </c>
      <c r="D183" s="83" t="s">
        <v>708</v>
      </c>
      <c r="E183" s="74"/>
      <c r="F183" s="72" t="s">
        <v>8</v>
      </c>
      <c r="G183" s="84"/>
      <c r="H183" s="74"/>
      <c r="I183" s="74"/>
    </row>
    <row r="184">
      <c r="A184" s="77">
        <v>8.0</v>
      </c>
      <c r="B184" s="74" t="s">
        <v>709</v>
      </c>
      <c r="C184" s="74" t="s">
        <v>710</v>
      </c>
      <c r="D184" s="74" t="s">
        <v>711</v>
      </c>
      <c r="E184" s="74"/>
      <c r="F184" s="72" t="s">
        <v>8</v>
      </c>
      <c r="G184" s="74"/>
      <c r="H184" s="74"/>
      <c r="I184" s="74"/>
    </row>
    <row r="185">
      <c r="A185" s="77">
        <v>9.0</v>
      </c>
      <c r="B185" s="74" t="s">
        <v>712</v>
      </c>
      <c r="C185" s="74" t="s">
        <v>713</v>
      </c>
      <c r="D185" s="74" t="s">
        <v>528</v>
      </c>
      <c r="E185" s="74"/>
      <c r="F185" s="72" t="s">
        <v>8</v>
      </c>
      <c r="G185" s="74"/>
      <c r="H185" s="74"/>
      <c r="I185" s="74"/>
    </row>
    <row r="186">
      <c r="A186" s="77">
        <v>10.0</v>
      </c>
      <c r="B186" s="74" t="s">
        <v>714</v>
      </c>
      <c r="C186" s="74" t="s">
        <v>715</v>
      </c>
      <c r="D186" s="74" t="s">
        <v>716</v>
      </c>
      <c r="E186" s="74"/>
      <c r="F186" s="72" t="s">
        <v>8</v>
      </c>
      <c r="G186" s="74"/>
      <c r="H186" s="74"/>
      <c r="I186" s="74"/>
    </row>
    <row r="187">
      <c r="A187" s="77">
        <v>11.0</v>
      </c>
      <c r="B187" s="74" t="s">
        <v>717</v>
      </c>
      <c r="C187" s="74" t="s">
        <v>718</v>
      </c>
      <c r="D187" s="74" t="s">
        <v>719</v>
      </c>
      <c r="E187" s="74"/>
      <c r="F187" s="72" t="s">
        <v>8</v>
      </c>
      <c r="G187" s="74"/>
      <c r="H187" s="74"/>
      <c r="I187" s="74"/>
    </row>
    <row r="188">
      <c r="A188" s="77">
        <v>12.0</v>
      </c>
      <c r="B188" s="74" t="s">
        <v>720</v>
      </c>
      <c r="C188" s="74" t="s">
        <v>721</v>
      </c>
      <c r="D188" s="74" t="s">
        <v>722</v>
      </c>
      <c r="E188" s="74"/>
      <c r="F188" s="72" t="s">
        <v>8</v>
      </c>
      <c r="G188" s="74"/>
      <c r="H188" s="74"/>
      <c r="I188" s="74"/>
    </row>
    <row r="189">
      <c r="A189" s="77">
        <v>13.0</v>
      </c>
      <c r="B189" s="74" t="s">
        <v>723</v>
      </c>
      <c r="C189" s="74" t="s">
        <v>724</v>
      </c>
      <c r="D189" s="74" t="s">
        <v>725</v>
      </c>
      <c r="E189" s="74"/>
      <c r="F189" s="72" t="s">
        <v>8</v>
      </c>
      <c r="G189" s="74"/>
      <c r="H189" s="74"/>
      <c r="I189" s="74"/>
    </row>
    <row r="190">
      <c r="A190" s="77">
        <v>14.0</v>
      </c>
      <c r="B190" s="74" t="s">
        <v>558</v>
      </c>
      <c r="C190" s="74" t="s">
        <v>559</v>
      </c>
      <c r="D190" s="74" t="s">
        <v>726</v>
      </c>
      <c r="E190" s="74"/>
      <c r="F190" s="72" t="s">
        <v>8</v>
      </c>
      <c r="G190" s="74"/>
      <c r="H190" s="74"/>
      <c r="I190" s="74"/>
    </row>
    <row r="191">
      <c r="A191" s="77">
        <v>15.0</v>
      </c>
      <c r="B191" s="74" t="s">
        <v>727</v>
      </c>
      <c r="C191" s="74" t="s">
        <v>728</v>
      </c>
      <c r="D191" s="74" t="s">
        <v>684</v>
      </c>
      <c r="E191" s="74"/>
      <c r="F191" s="72" t="s">
        <v>8</v>
      </c>
      <c r="G191" s="74"/>
      <c r="H191" s="74"/>
      <c r="I191" s="74"/>
    </row>
    <row r="192">
      <c r="A192" s="77">
        <v>16.0</v>
      </c>
      <c r="B192" s="74" t="s">
        <v>729</v>
      </c>
      <c r="C192" s="74" t="s">
        <v>730</v>
      </c>
      <c r="D192" s="74" t="s">
        <v>684</v>
      </c>
      <c r="E192" s="74"/>
      <c r="F192" s="72" t="s">
        <v>8</v>
      </c>
      <c r="G192" s="74"/>
      <c r="H192" s="74"/>
      <c r="I192" s="74"/>
    </row>
    <row r="193">
      <c r="A193" s="77">
        <v>17.0</v>
      </c>
      <c r="B193" s="74" t="s">
        <v>682</v>
      </c>
      <c r="C193" s="74" t="s">
        <v>731</v>
      </c>
      <c r="D193" s="74" t="s">
        <v>684</v>
      </c>
      <c r="E193" s="74"/>
      <c r="F193" s="72" t="s">
        <v>8</v>
      </c>
      <c r="G193" s="74"/>
      <c r="H193" s="74"/>
      <c r="I193" s="74"/>
    </row>
    <row r="194">
      <c r="A194" s="77">
        <v>18.0</v>
      </c>
      <c r="B194" s="74" t="s">
        <v>732</v>
      </c>
      <c r="C194" s="74" t="s">
        <v>733</v>
      </c>
      <c r="D194" s="74" t="s">
        <v>734</v>
      </c>
      <c r="E194" s="74"/>
      <c r="F194" s="72" t="s">
        <v>8</v>
      </c>
      <c r="G194" s="74"/>
      <c r="H194" s="74"/>
      <c r="I194" s="74"/>
    </row>
    <row r="195">
      <c r="A195" s="77">
        <v>19.0</v>
      </c>
      <c r="B195" s="74" t="s">
        <v>735</v>
      </c>
      <c r="C195" s="74" t="s">
        <v>736</v>
      </c>
      <c r="D195" s="74" t="s">
        <v>737</v>
      </c>
      <c r="E195" s="74"/>
      <c r="F195" s="72" t="s">
        <v>8</v>
      </c>
      <c r="G195" s="74"/>
      <c r="H195" s="74"/>
      <c r="I195" s="74"/>
    </row>
    <row r="196">
      <c r="A196" s="77">
        <v>20.0</v>
      </c>
      <c r="B196" s="74" t="s">
        <v>738</v>
      </c>
      <c r="C196" s="74" t="s">
        <v>739</v>
      </c>
      <c r="D196" s="74" t="s">
        <v>569</v>
      </c>
      <c r="E196" s="74"/>
      <c r="F196" s="72" t="s">
        <v>8</v>
      </c>
      <c r="G196" s="74"/>
      <c r="H196" s="74"/>
      <c r="I196" s="74"/>
    </row>
    <row r="197">
      <c r="A197" s="77">
        <v>21.0</v>
      </c>
      <c r="B197" s="74" t="s">
        <v>740</v>
      </c>
      <c r="C197" s="74" t="s">
        <v>741</v>
      </c>
      <c r="D197" s="74" t="s">
        <v>742</v>
      </c>
      <c r="E197" s="74"/>
      <c r="F197" s="72" t="s">
        <v>8</v>
      </c>
      <c r="G197" s="74"/>
      <c r="H197" s="74"/>
      <c r="I197" s="74"/>
    </row>
    <row r="198">
      <c r="A198" s="77">
        <v>22.0</v>
      </c>
      <c r="B198" s="74" t="s">
        <v>743</v>
      </c>
      <c r="C198" s="74" t="s">
        <v>744</v>
      </c>
      <c r="D198" s="74" t="s">
        <v>745</v>
      </c>
      <c r="E198" s="74"/>
      <c r="F198" s="72" t="s">
        <v>8</v>
      </c>
      <c r="G198" s="74"/>
      <c r="H198" s="74"/>
      <c r="I198" s="74"/>
    </row>
    <row r="199">
      <c r="A199" s="77">
        <v>23.0</v>
      </c>
      <c r="B199" s="74" t="s">
        <v>564</v>
      </c>
      <c r="C199" s="74" t="s">
        <v>565</v>
      </c>
      <c r="D199" s="74" t="s">
        <v>566</v>
      </c>
      <c r="E199" s="74"/>
      <c r="F199" s="72" t="s">
        <v>8</v>
      </c>
      <c r="G199" s="74"/>
      <c r="H199" s="74"/>
      <c r="I199" s="74"/>
    </row>
    <row r="200">
      <c r="A200" s="77">
        <v>24.0</v>
      </c>
      <c r="B200" s="71" t="s">
        <v>570</v>
      </c>
      <c r="C200" s="71" t="s">
        <v>746</v>
      </c>
      <c r="D200" s="71" t="s">
        <v>572</v>
      </c>
      <c r="E200" s="71"/>
      <c r="F200" s="70" t="s">
        <v>8</v>
      </c>
      <c r="G200" s="71"/>
      <c r="H200" s="71"/>
      <c r="I200" s="71"/>
    </row>
    <row r="201">
      <c r="A201" s="77">
        <v>25.0</v>
      </c>
      <c r="B201" s="74" t="s">
        <v>747</v>
      </c>
      <c r="C201" s="74" t="s">
        <v>748</v>
      </c>
      <c r="D201" s="74" t="s">
        <v>749</v>
      </c>
      <c r="E201" s="74"/>
      <c r="F201" s="70" t="s">
        <v>8</v>
      </c>
      <c r="G201" s="74"/>
      <c r="H201" s="74"/>
      <c r="I201" s="74"/>
    </row>
    <row r="202">
      <c r="A202" s="77">
        <v>26.0</v>
      </c>
      <c r="B202" s="74" t="s">
        <v>750</v>
      </c>
      <c r="C202" s="74" t="s">
        <v>751</v>
      </c>
      <c r="D202" s="74" t="s">
        <v>752</v>
      </c>
      <c r="E202" s="74"/>
      <c r="F202" s="70" t="s">
        <v>8</v>
      </c>
      <c r="G202" s="74"/>
      <c r="H202" s="74"/>
      <c r="I202" s="74"/>
    </row>
    <row r="203">
      <c r="A203" s="77">
        <v>27.0</v>
      </c>
      <c r="B203" s="74" t="s">
        <v>753</v>
      </c>
      <c r="C203" s="74" t="s">
        <v>754</v>
      </c>
      <c r="D203" s="74" t="s">
        <v>755</v>
      </c>
      <c r="E203" s="74"/>
      <c r="F203" s="70" t="s">
        <v>8</v>
      </c>
      <c r="G203" s="74"/>
      <c r="H203" s="74"/>
      <c r="I203" s="74"/>
    </row>
    <row r="204">
      <c r="A204" s="77">
        <v>28.0</v>
      </c>
      <c r="B204" s="74" t="s">
        <v>756</v>
      </c>
      <c r="C204" s="74" t="s">
        <v>757</v>
      </c>
      <c r="D204" s="74" t="s">
        <v>758</v>
      </c>
      <c r="E204" s="74"/>
      <c r="F204" s="70" t="s">
        <v>8</v>
      </c>
      <c r="G204" s="74"/>
      <c r="H204" s="74"/>
      <c r="I204" s="74"/>
    </row>
    <row r="205">
      <c r="A205" s="77">
        <v>29.0</v>
      </c>
      <c r="B205" s="74" t="s">
        <v>759</v>
      </c>
      <c r="C205" s="74" t="s">
        <v>760</v>
      </c>
      <c r="D205" s="74" t="s">
        <v>761</v>
      </c>
      <c r="E205" s="74"/>
      <c r="F205" s="70" t="s">
        <v>8</v>
      </c>
      <c r="G205" s="74"/>
      <c r="H205" s="74"/>
      <c r="I205" s="74"/>
    </row>
    <row r="206">
      <c r="A206" s="66" t="s">
        <v>762</v>
      </c>
      <c r="B206" s="91"/>
      <c r="C206" s="91"/>
      <c r="D206" s="67"/>
      <c r="E206" s="79"/>
      <c r="F206" s="79"/>
      <c r="G206" s="80"/>
      <c r="H206" s="94"/>
      <c r="I206" s="94"/>
    </row>
    <row r="207">
      <c r="A207" s="77">
        <v>1.0</v>
      </c>
      <c r="B207" s="74" t="s">
        <v>763</v>
      </c>
      <c r="C207" s="83" t="s">
        <v>764</v>
      </c>
      <c r="D207" s="83" t="s">
        <v>765</v>
      </c>
      <c r="E207" s="74"/>
      <c r="F207" s="72" t="s">
        <v>8</v>
      </c>
      <c r="G207" s="84"/>
      <c r="H207" s="74"/>
      <c r="I207" s="74"/>
    </row>
    <row r="208">
      <c r="A208" s="77">
        <v>2.0</v>
      </c>
      <c r="B208" s="74" t="s">
        <v>766</v>
      </c>
      <c r="C208" s="83" t="s">
        <v>767</v>
      </c>
      <c r="D208" s="83" t="s">
        <v>768</v>
      </c>
      <c r="E208" s="74"/>
      <c r="F208" s="72" t="s">
        <v>8</v>
      </c>
      <c r="G208" s="84"/>
      <c r="H208" s="74"/>
      <c r="I208" s="74"/>
    </row>
    <row r="209">
      <c r="A209" s="77">
        <v>3.0</v>
      </c>
      <c r="B209" s="74" t="s">
        <v>769</v>
      </c>
      <c r="C209" s="83" t="s">
        <v>770</v>
      </c>
      <c r="D209" s="83" t="s">
        <v>771</v>
      </c>
      <c r="E209" s="74"/>
      <c r="F209" s="72" t="s">
        <v>8</v>
      </c>
      <c r="G209" s="84"/>
      <c r="H209" s="74"/>
      <c r="I209" s="74"/>
    </row>
    <row r="210">
      <c r="A210" s="77">
        <v>4.0</v>
      </c>
      <c r="B210" s="74" t="s">
        <v>772</v>
      </c>
      <c r="C210" s="83" t="s">
        <v>773</v>
      </c>
      <c r="D210" s="83" t="s">
        <v>374</v>
      </c>
      <c r="E210" s="74"/>
      <c r="F210" s="72" t="s">
        <v>8</v>
      </c>
      <c r="G210" s="84"/>
      <c r="H210" s="74"/>
      <c r="I210" s="74"/>
    </row>
    <row r="211">
      <c r="A211" s="77">
        <v>5.0</v>
      </c>
      <c r="B211" s="74" t="s">
        <v>774</v>
      </c>
      <c r="C211" s="83" t="s">
        <v>775</v>
      </c>
      <c r="D211" s="83" t="s">
        <v>374</v>
      </c>
      <c r="E211" s="74"/>
      <c r="F211" s="72" t="s">
        <v>8</v>
      </c>
      <c r="G211" s="84"/>
      <c r="H211" s="74"/>
      <c r="I211" s="74"/>
    </row>
    <row r="212">
      <c r="A212" s="77">
        <v>6.0</v>
      </c>
      <c r="B212" s="74" t="s">
        <v>776</v>
      </c>
      <c r="C212" s="83" t="s">
        <v>777</v>
      </c>
      <c r="D212" s="83" t="s">
        <v>374</v>
      </c>
      <c r="E212" s="74"/>
      <c r="F212" s="72" t="s">
        <v>8</v>
      </c>
      <c r="G212" s="84"/>
      <c r="H212" s="74"/>
      <c r="I212" s="74"/>
    </row>
    <row r="213">
      <c r="A213" s="77">
        <v>7.0</v>
      </c>
      <c r="B213" s="74" t="s">
        <v>778</v>
      </c>
      <c r="C213" s="83" t="s">
        <v>779</v>
      </c>
      <c r="D213" s="83" t="s">
        <v>374</v>
      </c>
      <c r="E213" s="74"/>
      <c r="F213" s="72" t="s">
        <v>8</v>
      </c>
      <c r="G213" s="84"/>
      <c r="H213" s="74"/>
      <c r="I213" s="74"/>
    </row>
    <row r="214">
      <c r="A214" s="77">
        <v>8.0</v>
      </c>
      <c r="B214" s="74" t="s">
        <v>780</v>
      </c>
      <c r="C214" s="83" t="s">
        <v>781</v>
      </c>
      <c r="D214" s="83" t="s">
        <v>782</v>
      </c>
      <c r="E214" s="74"/>
      <c r="F214" s="72" t="s">
        <v>8</v>
      </c>
      <c r="G214" s="84"/>
      <c r="H214" s="74"/>
      <c r="I214" s="74"/>
    </row>
    <row r="215">
      <c r="A215" s="77">
        <v>9.0</v>
      </c>
      <c r="B215" s="74" t="s">
        <v>783</v>
      </c>
      <c r="C215" s="83" t="s">
        <v>784</v>
      </c>
      <c r="D215" s="83" t="s">
        <v>785</v>
      </c>
      <c r="E215" s="74"/>
      <c r="F215" s="72" t="s">
        <v>8</v>
      </c>
      <c r="G215" s="84"/>
      <c r="H215" s="74"/>
      <c r="I215" s="74"/>
    </row>
    <row r="216">
      <c r="A216" s="77">
        <v>10.0</v>
      </c>
      <c r="B216" s="74" t="s">
        <v>786</v>
      </c>
      <c r="C216" s="83" t="s">
        <v>787</v>
      </c>
      <c r="D216" s="83" t="s">
        <v>788</v>
      </c>
      <c r="E216" s="74"/>
      <c r="F216" s="72" t="s">
        <v>8</v>
      </c>
      <c r="G216" s="84"/>
      <c r="H216" s="74"/>
      <c r="I216" s="74"/>
    </row>
    <row r="217">
      <c r="A217" s="77">
        <v>11.0</v>
      </c>
      <c r="B217" s="74" t="s">
        <v>789</v>
      </c>
      <c r="C217" s="83" t="s">
        <v>790</v>
      </c>
      <c r="D217" s="83" t="s">
        <v>791</v>
      </c>
      <c r="E217" s="74"/>
      <c r="F217" s="72" t="s">
        <v>8</v>
      </c>
      <c r="G217" s="84"/>
      <c r="H217" s="74"/>
      <c r="I217" s="74"/>
    </row>
    <row r="218">
      <c r="A218" s="77">
        <v>12.0</v>
      </c>
      <c r="B218" s="74" t="s">
        <v>792</v>
      </c>
      <c r="C218" s="83" t="s">
        <v>793</v>
      </c>
      <c r="D218" s="83" t="s">
        <v>794</v>
      </c>
      <c r="E218" s="74"/>
      <c r="F218" s="72" t="s">
        <v>8</v>
      </c>
      <c r="G218" s="84"/>
      <c r="H218" s="74"/>
      <c r="I218" s="74"/>
    </row>
    <row r="219">
      <c r="A219" s="77">
        <v>13.0</v>
      </c>
      <c r="B219" s="74" t="s">
        <v>795</v>
      </c>
      <c r="C219" s="83" t="s">
        <v>796</v>
      </c>
      <c r="D219" s="83" t="s">
        <v>797</v>
      </c>
      <c r="E219" s="74"/>
      <c r="F219" s="72" t="s">
        <v>8</v>
      </c>
      <c r="G219" s="84"/>
      <c r="H219" s="74"/>
      <c r="I219" s="74"/>
    </row>
    <row r="220">
      <c r="A220" s="77">
        <v>14.0</v>
      </c>
      <c r="B220" s="74" t="s">
        <v>798</v>
      </c>
      <c r="C220" s="83" t="s">
        <v>799</v>
      </c>
      <c r="D220" s="83" t="s">
        <v>800</v>
      </c>
      <c r="E220" s="74"/>
      <c r="F220" s="72" t="s">
        <v>8</v>
      </c>
      <c r="G220" s="84"/>
      <c r="H220" s="74"/>
      <c r="I220" s="74"/>
    </row>
    <row r="221">
      <c r="A221" s="77">
        <v>15.0</v>
      </c>
      <c r="B221" s="74" t="s">
        <v>801</v>
      </c>
      <c r="C221" s="83" t="s">
        <v>680</v>
      </c>
      <c r="D221" s="83" t="s">
        <v>802</v>
      </c>
      <c r="E221" s="74"/>
      <c r="F221" s="72" t="s">
        <v>8</v>
      </c>
      <c r="G221" s="84"/>
      <c r="H221" s="74"/>
      <c r="I221" s="74"/>
    </row>
    <row r="222">
      <c r="A222" s="77">
        <v>16.0</v>
      </c>
      <c r="B222" s="74" t="s">
        <v>803</v>
      </c>
      <c r="C222" s="83" t="s">
        <v>683</v>
      </c>
      <c r="D222" s="83" t="s">
        <v>684</v>
      </c>
      <c r="E222" s="74"/>
      <c r="F222" s="72" t="s">
        <v>8</v>
      </c>
      <c r="G222" s="84"/>
      <c r="H222" s="74"/>
      <c r="I222" s="74"/>
    </row>
    <row r="223">
      <c r="A223" s="77">
        <v>17.0</v>
      </c>
      <c r="B223" s="71" t="s">
        <v>570</v>
      </c>
      <c r="C223" s="71" t="s">
        <v>804</v>
      </c>
      <c r="D223" s="71" t="s">
        <v>572</v>
      </c>
      <c r="E223" s="71"/>
      <c r="F223" s="72" t="s">
        <v>8</v>
      </c>
      <c r="G223" s="71"/>
      <c r="H223" s="71"/>
      <c r="I223" s="71"/>
    </row>
    <row r="224">
      <c r="A224" s="66" t="s">
        <v>805</v>
      </c>
      <c r="B224" s="91"/>
      <c r="C224" s="91"/>
      <c r="D224" s="67"/>
      <c r="E224" s="79"/>
      <c r="F224" s="79"/>
      <c r="G224" s="80"/>
      <c r="H224" s="94"/>
      <c r="I224" s="94"/>
    </row>
    <row r="225">
      <c r="A225" s="77">
        <v>1.0</v>
      </c>
      <c r="B225" s="74" t="s">
        <v>806</v>
      </c>
      <c r="C225" s="83" t="s">
        <v>807</v>
      </c>
      <c r="D225" s="83" t="s">
        <v>808</v>
      </c>
      <c r="E225" s="74"/>
      <c r="F225" s="72" t="s">
        <v>8</v>
      </c>
      <c r="G225" s="84"/>
      <c r="H225" s="74"/>
      <c r="I225" s="74"/>
    </row>
    <row r="226">
      <c r="A226" s="77">
        <v>2.0</v>
      </c>
      <c r="B226" s="74" t="s">
        <v>809</v>
      </c>
      <c r="C226" s="83" t="s">
        <v>810</v>
      </c>
      <c r="D226" s="83" t="s">
        <v>662</v>
      </c>
      <c r="E226" s="74"/>
      <c r="F226" s="72" t="s">
        <v>8</v>
      </c>
      <c r="G226" s="84"/>
      <c r="H226" s="74"/>
      <c r="I226" s="74"/>
    </row>
    <row r="227">
      <c r="A227" s="77">
        <v>3.0</v>
      </c>
      <c r="B227" s="74" t="s">
        <v>811</v>
      </c>
      <c r="C227" s="83" t="s">
        <v>812</v>
      </c>
      <c r="D227" s="83" t="s">
        <v>374</v>
      </c>
      <c r="E227" s="74"/>
      <c r="F227" s="72" t="s">
        <v>8</v>
      </c>
      <c r="G227" s="84"/>
      <c r="H227" s="74"/>
      <c r="I227" s="74"/>
    </row>
    <row r="228">
      <c r="A228" s="77">
        <v>4.0</v>
      </c>
      <c r="B228" s="74" t="s">
        <v>813</v>
      </c>
      <c r="C228" s="83" t="s">
        <v>666</v>
      </c>
      <c r="D228" s="83" t="s">
        <v>624</v>
      </c>
      <c r="E228" s="74"/>
      <c r="F228" s="72" t="s">
        <v>8</v>
      </c>
      <c r="G228" s="84"/>
      <c r="H228" s="74"/>
      <c r="I228" s="74"/>
    </row>
    <row r="229">
      <c r="A229" s="77">
        <v>5.0</v>
      </c>
      <c r="B229" s="74" t="s">
        <v>814</v>
      </c>
      <c r="C229" s="83" t="s">
        <v>668</v>
      </c>
      <c r="D229" s="83" t="s">
        <v>815</v>
      </c>
      <c r="E229" s="74"/>
      <c r="F229" s="72" t="s">
        <v>8</v>
      </c>
      <c r="G229" s="84"/>
      <c r="H229" s="74"/>
      <c r="I229" s="74"/>
    </row>
    <row r="230">
      <c r="A230" s="77">
        <v>6.0</v>
      </c>
      <c r="B230" s="74" t="s">
        <v>816</v>
      </c>
      <c r="C230" s="83" t="s">
        <v>817</v>
      </c>
      <c r="D230" s="83" t="s">
        <v>818</v>
      </c>
      <c r="E230" s="74"/>
      <c r="F230" s="72" t="s">
        <v>8</v>
      </c>
      <c r="G230" s="84"/>
      <c r="H230" s="74"/>
      <c r="I230" s="74"/>
    </row>
    <row r="231">
      <c r="A231" s="77">
        <v>7.0</v>
      </c>
      <c r="B231" s="74" t="s">
        <v>819</v>
      </c>
      <c r="C231" s="83" t="s">
        <v>674</v>
      </c>
      <c r="D231" s="83" t="s">
        <v>820</v>
      </c>
      <c r="E231" s="74"/>
      <c r="F231" s="72" t="s">
        <v>8</v>
      </c>
      <c r="G231" s="84"/>
      <c r="H231" s="74"/>
      <c r="I231" s="74"/>
    </row>
    <row r="232">
      <c r="A232" s="77">
        <v>8.0</v>
      </c>
      <c r="B232" s="74" t="s">
        <v>821</v>
      </c>
      <c r="C232" s="83" t="s">
        <v>822</v>
      </c>
      <c r="D232" s="83" t="s">
        <v>797</v>
      </c>
      <c r="E232" s="74"/>
      <c r="F232" s="72" t="s">
        <v>8</v>
      </c>
      <c r="G232" s="84"/>
      <c r="H232" s="74"/>
      <c r="I232" s="74"/>
    </row>
    <row r="233">
      <c r="A233" s="77">
        <v>9.0</v>
      </c>
      <c r="B233" s="74" t="s">
        <v>823</v>
      </c>
      <c r="C233" s="83" t="s">
        <v>799</v>
      </c>
      <c r="D233" s="83" t="s">
        <v>824</v>
      </c>
      <c r="E233" s="74"/>
      <c r="F233" s="72" t="s">
        <v>8</v>
      </c>
      <c r="G233" s="84"/>
      <c r="H233" s="74"/>
      <c r="I233" s="74"/>
    </row>
    <row r="234">
      <c r="A234" s="77">
        <v>10.0</v>
      </c>
      <c r="B234" s="74" t="s">
        <v>825</v>
      </c>
      <c r="C234" s="83" t="s">
        <v>680</v>
      </c>
      <c r="D234" s="83" t="s">
        <v>826</v>
      </c>
      <c r="E234" s="74"/>
      <c r="F234" s="72" t="s">
        <v>8</v>
      </c>
      <c r="G234" s="84"/>
      <c r="H234" s="74"/>
      <c r="I234" s="74"/>
    </row>
    <row r="235">
      <c r="A235" s="77">
        <v>11.0</v>
      </c>
      <c r="B235" s="74" t="s">
        <v>827</v>
      </c>
      <c r="C235" s="83" t="s">
        <v>683</v>
      </c>
      <c r="D235" s="83" t="s">
        <v>828</v>
      </c>
      <c r="E235" s="74"/>
      <c r="F235" s="72" t="s">
        <v>8</v>
      </c>
      <c r="G235" s="84"/>
      <c r="H235" s="74"/>
      <c r="I235" s="74"/>
    </row>
    <row r="236">
      <c r="A236" s="77">
        <v>12.0</v>
      </c>
      <c r="B236" s="71" t="s">
        <v>570</v>
      </c>
      <c r="C236" s="71" t="s">
        <v>829</v>
      </c>
      <c r="D236" s="71" t="s">
        <v>572</v>
      </c>
      <c r="E236" s="71"/>
      <c r="F236" s="72" t="s">
        <v>8</v>
      </c>
      <c r="G236" s="71"/>
      <c r="H236" s="71"/>
      <c r="I236" s="71"/>
    </row>
    <row r="237">
      <c r="A237" s="66" t="s">
        <v>830</v>
      </c>
      <c r="B237" s="91"/>
      <c r="C237" s="91"/>
      <c r="D237" s="67"/>
      <c r="E237" s="79"/>
      <c r="F237" s="79"/>
      <c r="G237" s="80"/>
      <c r="H237" s="94"/>
      <c r="I237" s="94"/>
    </row>
    <row r="238">
      <c r="A238" s="77">
        <v>1.0</v>
      </c>
      <c r="B238" s="74" t="s">
        <v>831</v>
      </c>
      <c r="C238" s="83" t="s">
        <v>832</v>
      </c>
      <c r="D238" s="83" t="s">
        <v>833</v>
      </c>
      <c r="E238" s="74"/>
      <c r="F238" s="72" t="s">
        <v>8</v>
      </c>
      <c r="G238" s="84"/>
      <c r="H238" s="74"/>
      <c r="I238" s="74"/>
    </row>
    <row r="239">
      <c r="A239" s="77">
        <v>2.0</v>
      </c>
      <c r="B239" s="74" t="s">
        <v>834</v>
      </c>
      <c r="C239" s="83" t="s">
        <v>835</v>
      </c>
      <c r="D239" s="83" t="s">
        <v>836</v>
      </c>
      <c r="E239" s="74"/>
      <c r="F239" s="72" t="s">
        <v>8</v>
      </c>
      <c r="G239" s="84"/>
      <c r="H239" s="74"/>
      <c r="I239" s="74"/>
    </row>
    <row r="240">
      <c r="A240" s="77">
        <v>3.0</v>
      </c>
      <c r="B240" s="74" t="s">
        <v>837</v>
      </c>
      <c r="C240" s="83" t="s">
        <v>838</v>
      </c>
      <c r="D240" s="83" t="s">
        <v>839</v>
      </c>
      <c r="E240" s="74"/>
      <c r="F240" s="72" t="s">
        <v>8</v>
      </c>
      <c r="G240" s="84"/>
      <c r="H240" s="74"/>
      <c r="I240" s="74"/>
    </row>
    <row r="241">
      <c r="A241" s="77">
        <v>4.0</v>
      </c>
      <c r="B241" s="74" t="s">
        <v>840</v>
      </c>
      <c r="C241" s="83" t="s">
        <v>841</v>
      </c>
      <c r="D241" s="83" t="s">
        <v>374</v>
      </c>
      <c r="E241" s="74"/>
      <c r="F241" s="72" t="s">
        <v>8</v>
      </c>
      <c r="G241" s="84"/>
      <c r="H241" s="74"/>
      <c r="I241" s="74"/>
    </row>
    <row r="242">
      <c r="A242" s="77">
        <v>5.0</v>
      </c>
      <c r="B242" s="74" t="s">
        <v>842</v>
      </c>
      <c r="C242" s="83" t="s">
        <v>843</v>
      </c>
      <c r="D242" s="83" t="s">
        <v>374</v>
      </c>
      <c r="E242" s="74"/>
      <c r="F242" s="72" t="s">
        <v>8</v>
      </c>
      <c r="G242" s="84"/>
      <c r="H242" s="74"/>
      <c r="I242" s="74"/>
    </row>
    <row r="243">
      <c r="A243" s="77">
        <v>6.0</v>
      </c>
      <c r="B243" s="74" t="s">
        <v>844</v>
      </c>
      <c r="C243" s="83" t="s">
        <v>845</v>
      </c>
      <c r="D243" s="83" t="s">
        <v>374</v>
      </c>
      <c r="E243" s="74"/>
      <c r="F243" s="72" t="s">
        <v>8</v>
      </c>
      <c r="G243" s="84"/>
      <c r="H243" s="74"/>
      <c r="I243" s="74"/>
    </row>
    <row r="244">
      <c r="A244" s="77">
        <v>7.0</v>
      </c>
      <c r="B244" s="74" t="s">
        <v>846</v>
      </c>
      <c r="C244" s="83" t="s">
        <v>847</v>
      </c>
      <c r="D244" s="83" t="s">
        <v>374</v>
      </c>
      <c r="E244" s="74"/>
      <c r="F244" s="72" t="s">
        <v>8</v>
      </c>
      <c r="G244" s="84"/>
      <c r="H244" s="74"/>
      <c r="I244" s="74"/>
    </row>
    <row r="245">
      <c r="A245" s="77">
        <v>8.0</v>
      </c>
      <c r="B245" s="74" t="s">
        <v>848</v>
      </c>
      <c r="C245" s="83" t="s">
        <v>849</v>
      </c>
      <c r="D245" s="83" t="s">
        <v>850</v>
      </c>
      <c r="E245" s="74"/>
      <c r="F245" s="72" t="s">
        <v>8</v>
      </c>
      <c r="G245" s="84"/>
      <c r="H245" s="74"/>
      <c r="I245" s="74"/>
    </row>
    <row r="246">
      <c r="A246" s="77">
        <v>9.0</v>
      </c>
      <c r="B246" s="74" t="s">
        <v>851</v>
      </c>
      <c r="C246" s="83" t="s">
        <v>852</v>
      </c>
      <c r="D246" s="83" t="s">
        <v>853</v>
      </c>
      <c r="E246" s="74"/>
      <c r="F246" s="72" t="s">
        <v>8</v>
      </c>
      <c r="G246" s="84"/>
      <c r="H246" s="74"/>
      <c r="I246" s="74"/>
    </row>
    <row r="247">
      <c r="A247" s="77">
        <v>10.0</v>
      </c>
      <c r="B247" s="74" t="s">
        <v>854</v>
      </c>
      <c r="C247" s="83" t="s">
        <v>855</v>
      </c>
      <c r="D247" s="83" t="s">
        <v>856</v>
      </c>
      <c r="E247" s="74"/>
      <c r="F247" s="72" t="s">
        <v>8</v>
      </c>
      <c r="G247" s="84"/>
      <c r="H247" s="74"/>
      <c r="I247" s="74"/>
    </row>
    <row r="248">
      <c r="A248" s="77">
        <v>11.0</v>
      </c>
      <c r="B248" s="74" t="s">
        <v>857</v>
      </c>
      <c r="C248" s="83" t="s">
        <v>858</v>
      </c>
      <c r="D248" s="83" t="s">
        <v>859</v>
      </c>
      <c r="E248" s="74"/>
      <c r="F248" s="72" t="s">
        <v>8</v>
      </c>
      <c r="G248" s="84"/>
      <c r="H248" s="74"/>
      <c r="I248" s="74"/>
    </row>
    <row r="249">
      <c r="A249" s="77">
        <v>12.0</v>
      </c>
      <c r="B249" s="74" t="s">
        <v>860</v>
      </c>
      <c r="C249" s="83" t="s">
        <v>861</v>
      </c>
      <c r="D249" s="83" t="s">
        <v>862</v>
      </c>
      <c r="E249" s="74"/>
      <c r="F249" s="72" t="s">
        <v>8</v>
      </c>
      <c r="G249" s="84"/>
      <c r="H249" s="74"/>
      <c r="I249" s="74"/>
    </row>
    <row r="250">
      <c r="A250" s="77">
        <v>13.0</v>
      </c>
      <c r="B250" s="74" t="s">
        <v>863</v>
      </c>
      <c r="C250" s="83" t="s">
        <v>864</v>
      </c>
      <c r="D250" s="83" t="s">
        <v>865</v>
      </c>
      <c r="E250" s="74"/>
      <c r="F250" s="72" t="s">
        <v>8</v>
      </c>
      <c r="G250" s="84"/>
      <c r="H250" s="74"/>
      <c r="I250" s="74"/>
    </row>
    <row r="251">
      <c r="A251" s="77">
        <v>14.0</v>
      </c>
      <c r="B251" s="74" t="s">
        <v>866</v>
      </c>
      <c r="C251" s="83" t="s">
        <v>867</v>
      </c>
      <c r="D251" s="83" t="s">
        <v>374</v>
      </c>
      <c r="E251" s="74"/>
      <c r="F251" s="72" t="s">
        <v>8</v>
      </c>
      <c r="G251" s="84"/>
      <c r="H251" s="74"/>
      <c r="I251" s="74"/>
    </row>
    <row r="252">
      <c r="A252" s="77">
        <v>15.0</v>
      </c>
      <c r="B252" s="74" t="s">
        <v>868</v>
      </c>
      <c r="C252" s="83" t="s">
        <v>869</v>
      </c>
      <c r="D252" s="83" t="s">
        <v>870</v>
      </c>
      <c r="E252" s="74"/>
      <c r="F252" s="72" t="s">
        <v>8</v>
      </c>
      <c r="G252" s="84"/>
      <c r="H252" s="74"/>
      <c r="I252" s="74"/>
    </row>
    <row r="253">
      <c r="A253" s="77">
        <v>16.0</v>
      </c>
      <c r="B253" s="74" t="s">
        <v>871</v>
      </c>
      <c r="C253" s="83" t="s">
        <v>872</v>
      </c>
      <c r="D253" s="83" t="s">
        <v>873</v>
      </c>
      <c r="E253" s="74"/>
      <c r="F253" s="72" t="s">
        <v>8</v>
      </c>
      <c r="G253" s="84"/>
      <c r="H253" s="74"/>
      <c r="I253" s="74"/>
    </row>
    <row r="254">
      <c r="A254" s="77">
        <v>17.0</v>
      </c>
      <c r="B254" s="74" t="s">
        <v>874</v>
      </c>
      <c r="C254" s="83" t="s">
        <v>875</v>
      </c>
      <c r="D254" s="83" t="s">
        <v>374</v>
      </c>
      <c r="E254" s="74"/>
      <c r="F254" s="72" t="s">
        <v>8</v>
      </c>
      <c r="G254" s="84"/>
      <c r="H254" s="74"/>
      <c r="I254" s="74"/>
    </row>
    <row r="255">
      <c r="A255" s="77">
        <v>18.0</v>
      </c>
      <c r="B255" s="74" t="s">
        <v>876</v>
      </c>
      <c r="C255" s="74" t="s">
        <v>877</v>
      </c>
      <c r="D255" s="83" t="s">
        <v>878</v>
      </c>
      <c r="E255" s="74"/>
      <c r="F255" s="72" t="s">
        <v>8</v>
      </c>
      <c r="G255" s="84"/>
      <c r="H255" s="74"/>
      <c r="I255" s="74"/>
    </row>
    <row r="256">
      <c r="A256" s="77">
        <v>19.0</v>
      </c>
      <c r="B256" s="74" t="s">
        <v>879</v>
      </c>
      <c r="C256" s="83" t="s">
        <v>880</v>
      </c>
      <c r="D256" s="83" t="s">
        <v>881</v>
      </c>
      <c r="E256" s="74"/>
      <c r="F256" s="72" t="s">
        <v>8</v>
      </c>
      <c r="G256" s="84"/>
      <c r="H256" s="74"/>
      <c r="I256" s="74"/>
    </row>
    <row r="257">
      <c r="A257" s="77">
        <v>20.0</v>
      </c>
      <c r="B257" s="74" t="s">
        <v>882</v>
      </c>
      <c r="C257" s="83" t="s">
        <v>883</v>
      </c>
      <c r="D257" s="83" t="s">
        <v>884</v>
      </c>
      <c r="E257" s="74"/>
      <c r="F257" s="72" t="s">
        <v>8</v>
      </c>
      <c r="G257" s="84"/>
      <c r="H257" s="74"/>
      <c r="I257" s="74"/>
    </row>
    <row r="258">
      <c r="A258" s="77">
        <v>21.0</v>
      </c>
      <c r="B258" s="74" t="s">
        <v>885</v>
      </c>
      <c r="C258" s="83" t="s">
        <v>886</v>
      </c>
      <c r="D258" s="83" t="s">
        <v>887</v>
      </c>
      <c r="E258" s="74"/>
      <c r="F258" s="72" t="s">
        <v>8</v>
      </c>
      <c r="G258" s="84"/>
      <c r="H258" s="74"/>
      <c r="I258" s="74"/>
    </row>
    <row r="259">
      <c r="A259" s="77">
        <v>22.0</v>
      </c>
      <c r="B259" s="74" t="s">
        <v>888</v>
      </c>
      <c r="C259" s="83" t="s">
        <v>889</v>
      </c>
      <c r="D259" s="83" t="s">
        <v>890</v>
      </c>
      <c r="E259" s="74"/>
      <c r="F259" s="72" t="s">
        <v>8</v>
      </c>
      <c r="G259" s="84"/>
      <c r="H259" s="74"/>
      <c r="I259" s="74"/>
    </row>
    <row r="260">
      <c r="A260" s="77">
        <v>23.0</v>
      </c>
      <c r="B260" s="74" t="s">
        <v>891</v>
      </c>
      <c r="C260" s="83" t="s">
        <v>892</v>
      </c>
      <c r="D260" s="83" t="s">
        <v>893</v>
      </c>
      <c r="E260" s="74"/>
      <c r="F260" s="72" t="s">
        <v>8</v>
      </c>
      <c r="G260" s="84"/>
      <c r="H260" s="74"/>
      <c r="I260" s="74"/>
    </row>
    <row r="261">
      <c r="A261" s="77">
        <v>24.0</v>
      </c>
      <c r="B261" s="74" t="s">
        <v>894</v>
      </c>
      <c r="C261" s="83" t="s">
        <v>895</v>
      </c>
      <c r="D261" s="83" t="s">
        <v>896</v>
      </c>
      <c r="E261" s="74"/>
      <c r="F261" s="72" t="s">
        <v>8</v>
      </c>
      <c r="G261" s="84"/>
      <c r="H261" s="74"/>
      <c r="I261" s="74"/>
    </row>
    <row r="262">
      <c r="A262" s="77">
        <v>25.0</v>
      </c>
      <c r="B262" s="74" t="s">
        <v>897</v>
      </c>
      <c r="C262" s="83" t="s">
        <v>898</v>
      </c>
      <c r="D262" s="83" t="s">
        <v>899</v>
      </c>
      <c r="E262" s="74"/>
      <c r="F262" s="72" t="s">
        <v>8</v>
      </c>
      <c r="G262" s="84"/>
      <c r="H262" s="74"/>
      <c r="I262" s="74"/>
    </row>
    <row r="263">
      <c r="A263" s="77">
        <v>26.0</v>
      </c>
      <c r="B263" s="74" t="s">
        <v>900</v>
      </c>
      <c r="C263" s="83" t="s">
        <v>901</v>
      </c>
      <c r="D263" s="83" t="s">
        <v>902</v>
      </c>
      <c r="E263" s="74"/>
      <c r="F263" s="72" t="s">
        <v>8</v>
      </c>
      <c r="G263" s="84"/>
      <c r="H263" s="74"/>
      <c r="I263" s="74"/>
    </row>
    <row r="264">
      <c r="A264" s="77">
        <v>27.0</v>
      </c>
      <c r="B264" s="74" t="s">
        <v>903</v>
      </c>
      <c r="C264" s="83" t="s">
        <v>904</v>
      </c>
      <c r="D264" s="83" t="s">
        <v>905</v>
      </c>
      <c r="E264" s="74"/>
      <c r="F264" s="72" t="s">
        <v>8</v>
      </c>
      <c r="G264" s="84"/>
      <c r="H264" s="74"/>
      <c r="I264" s="74"/>
    </row>
    <row r="265">
      <c r="A265" s="77">
        <v>28.0</v>
      </c>
      <c r="B265" s="74" t="s">
        <v>906</v>
      </c>
      <c r="C265" s="83" t="s">
        <v>907</v>
      </c>
      <c r="D265" s="83" t="s">
        <v>908</v>
      </c>
      <c r="E265" s="74"/>
      <c r="F265" s="72" t="s">
        <v>8</v>
      </c>
      <c r="G265" s="84"/>
      <c r="H265" s="74"/>
      <c r="I265" s="74"/>
    </row>
    <row r="266">
      <c r="A266" s="77">
        <v>29.0</v>
      </c>
      <c r="B266" s="74" t="s">
        <v>909</v>
      </c>
      <c r="C266" s="83" t="s">
        <v>910</v>
      </c>
      <c r="D266" s="83" t="s">
        <v>374</v>
      </c>
      <c r="E266" s="74"/>
      <c r="F266" s="72" t="s">
        <v>8</v>
      </c>
      <c r="G266" s="84"/>
      <c r="H266" s="74"/>
      <c r="I266" s="74"/>
    </row>
    <row r="267">
      <c r="A267" s="77">
        <v>30.0</v>
      </c>
      <c r="B267" s="74" t="s">
        <v>911</v>
      </c>
      <c r="C267" s="83" t="s">
        <v>912</v>
      </c>
      <c r="D267" s="83" t="s">
        <v>913</v>
      </c>
      <c r="E267" s="74"/>
      <c r="F267" s="72" t="s">
        <v>8</v>
      </c>
      <c r="G267" s="84"/>
      <c r="H267" s="74"/>
      <c r="I267" s="74"/>
    </row>
    <row r="268">
      <c r="A268" s="77">
        <v>31.0</v>
      </c>
      <c r="B268" s="74" t="s">
        <v>914</v>
      </c>
      <c r="C268" s="83" t="s">
        <v>915</v>
      </c>
      <c r="D268" s="83" t="s">
        <v>916</v>
      </c>
      <c r="E268" s="74"/>
      <c r="F268" s="72" t="s">
        <v>8</v>
      </c>
      <c r="G268" s="84"/>
      <c r="H268" s="74"/>
      <c r="I268" s="74"/>
    </row>
    <row r="269">
      <c r="A269" s="77">
        <v>32.0</v>
      </c>
      <c r="B269" s="74" t="s">
        <v>917</v>
      </c>
      <c r="C269" s="83" t="s">
        <v>918</v>
      </c>
      <c r="D269" s="83" t="s">
        <v>919</v>
      </c>
      <c r="E269" s="74"/>
      <c r="F269" s="72" t="s">
        <v>8</v>
      </c>
      <c r="G269" s="84"/>
      <c r="H269" s="74"/>
      <c r="I269" s="74"/>
    </row>
    <row r="270">
      <c r="A270" s="77">
        <v>33.0</v>
      </c>
      <c r="B270" s="78" t="s">
        <v>920</v>
      </c>
      <c r="C270" s="78" t="s">
        <v>921</v>
      </c>
      <c r="D270" s="78" t="s">
        <v>922</v>
      </c>
      <c r="E270" s="78"/>
      <c r="F270" s="72" t="s">
        <v>8</v>
      </c>
      <c r="G270" s="84"/>
      <c r="H270" s="74"/>
      <c r="I270" s="74"/>
    </row>
    <row r="271">
      <c r="A271" s="77">
        <v>34.0</v>
      </c>
      <c r="B271" s="78" t="s">
        <v>923</v>
      </c>
      <c r="C271" s="78" t="s">
        <v>924</v>
      </c>
      <c r="D271" s="78" t="s">
        <v>925</v>
      </c>
      <c r="E271" s="78"/>
      <c r="F271" s="72" t="s">
        <v>8</v>
      </c>
      <c r="G271" s="84"/>
      <c r="H271" s="74"/>
      <c r="I271" s="74"/>
    </row>
    <row r="272">
      <c r="A272" s="77">
        <v>35.0</v>
      </c>
      <c r="B272" s="78" t="s">
        <v>926</v>
      </c>
      <c r="C272" s="78" t="s">
        <v>927</v>
      </c>
      <c r="D272" s="78" t="s">
        <v>928</v>
      </c>
      <c r="E272" s="78"/>
      <c r="F272" s="72" t="s">
        <v>8</v>
      </c>
      <c r="G272" s="84"/>
      <c r="H272" s="74"/>
      <c r="I272" s="74"/>
    </row>
    <row r="273">
      <c r="A273" s="77">
        <v>36.0</v>
      </c>
      <c r="B273" s="78" t="s">
        <v>929</v>
      </c>
      <c r="C273" s="78" t="s">
        <v>930</v>
      </c>
      <c r="D273" s="78" t="s">
        <v>931</v>
      </c>
      <c r="E273" s="78"/>
      <c r="F273" s="72" t="s">
        <v>8</v>
      </c>
      <c r="G273" s="84"/>
      <c r="H273" s="74"/>
      <c r="I273" s="74"/>
    </row>
    <row r="274">
      <c r="A274" s="77">
        <v>37.0</v>
      </c>
      <c r="B274" s="78" t="s">
        <v>932</v>
      </c>
      <c r="C274" s="78" t="s">
        <v>933</v>
      </c>
      <c r="D274" s="78" t="s">
        <v>934</v>
      </c>
      <c r="E274" s="78"/>
      <c r="F274" s="72" t="s">
        <v>8</v>
      </c>
      <c r="G274" s="84"/>
      <c r="H274" s="74"/>
      <c r="I274" s="74"/>
    </row>
    <row r="275">
      <c r="A275" s="77">
        <v>38.0</v>
      </c>
      <c r="B275" s="78" t="s">
        <v>935</v>
      </c>
      <c r="C275" s="78" t="s">
        <v>936</v>
      </c>
      <c r="D275" s="78" t="s">
        <v>937</v>
      </c>
      <c r="E275" s="78"/>
      <c r="F275" s="72" t="s">
        <v>8</v>
      </c>
      <c r="G275" s="84"/>
      <c r="H275" s="74"/>
      <c r="I275" s="74"/>
    </row>
    <row r="276">
      <c r="A276" s="77">
        <v>39.0</v>
      </c>
      <c r="B276" s="78" t="s">
        <v>938</v>
      </c>
      <c r="C276" s="78" t="s">
        <v>939</v>
      </c>
      <c r="D276" s="78" t="s">
        <v>940</v>
      </c>
      <c r="E276" s="78"/>
      <c r="F276" s="72" t="s">
        <v>8</v>
      </c>
      <c r="G276" s="84"/>
      <c r="H276" s="74"/>
      <c r="I276" s="74"/>
    </row>
    <row r="277">
      <c r="A277" s="77">
        <v>40.0</v>
      </c>
      <c r="B277" s="78" t="s">
        <v>941</v>
      </c>
      <c r="C277" s="78" t="s">
        <v>942</v>
      </c>
      <c r="D277" s="78" t="s">
        <v>943</v>
      </c>
      <c r="E277" s="78"/>
      <c r="F277" s="72" t="s">
        <v>8</v>
      </c>
      <c r="G277" s="84"/>
      <c r="H277" s="74"/>
      <c r="I277" s="74"/>
    </row>
    <row r="278">
      <c r="A278" s="77">
        <v>41.0</v>
      </c>
      <c r="B278" s="78" t="s">
        <v>944</v>
      </c>
      <c r="C278" s="78" t="s">
        <v>945</v>
      </c>
      <c r="D278" s="78" t="s">
        <v>946</v>
      </c>
      <c r="E278" s="78"/>
      <c r="F278" s="72" t="s">
        <v>8</v>
      </c>
      <c r="G278" s="84"/>
      <c r="H278" s="74"/>
      <c r="I278" s="74"/>
    </row>
    <row r="279">
      <c r="A279" s="77">
        <v>42.0</v>
      </c>
      <c r="B279" s="78" t="s">
        <v>947</v>
      </c>
      <c r="C279" s="78" t="s">
        <v>948</v>
      </c>
      <c r="D279" s="78" t="s">
        <v>949</v>
      </c>
      <c r="E279" s="78"/>
      <c r="F279" s="72" t="s">
        <v>8</v>
      </c>
      <c r="G279" s="84"/>
      <c r="H279" s="74"/>
      <c r="I279" s="74"/>
    </row>
    <row r="280">
      <c r="A280" s="77">
        <v>43.0</v>
      </c>
      <c r="B280" s="78" t="s">
        <v>950</v>
      </c>
      <c r="C280" s="78" t="s">
        <v>951</v>
      </c>
      <c r="D280" s="78" t="s">
        <v>952</v>
      </c>
      <c r="E280" s="78"/>
      <c r="F280" s="72" t="s">
        <v>8</v>
      </c>
      <c r="G280" s="84"/>
      <c r="H280" s="74"/>
      <c r="I280" s="74"/>
    </row>
    <row r="281">
      <c r="A281" s="77">
        <v>44.0</v>
      </c>
      <c r="B281" s="78" t="s">
        <v>953</v>
      </c>
      <c r="C281" s="78" t="s">
        <v>954</v>
      </c>
      <c r="D281" s="78" t="s">
        <v>955</v>
      </c>
      <c r="E281" s="78"/>
      <c r="F281" s="72" t="s">
        <v>8</v>
      </c>
      <c r="G281" s="84"/>
      <c r="H281" s="74"/>
      <c r="I281" s="74"/>
    </row>
    <row r="282">
      <c r="A282" s="77">
        <v>45.0</v>
      </c>
      <c r="B282" s="74" t="s">
        <v>564</v>
      </c>
      <c r="C282" s="74" t="s">
        <v>565</v>
      </c>
      <c r="D282" s="74" t="s">
        <v>566</v>
      </c>
      <c r="E282" s="74"/>
      <c r="F282" s="72" t="s">
        <v>8</v>
      </c>
      <c r="G282" s="74"/>
      <c r="H282" s="74"/>
      <c r="I282" s="74"/>
    </row>
    <row r="283">
      <c r="A283" s="77">
        <v>46.0</v>
      </c>
      <c r="B283" s="78" t="s">
        <v>956</v>
      </c>
      <c r="C283" s="78" t="s">
        <v>957</v>
      </c>
      <c r="D283" s="78" t="s">
        <v>958</v>
      </c>
      <c r="E283" s="78"/>
      <c r="F283" s="72" t="s">
        <v>8</v>
      </c>
      <c r="G283" s="84"/>
      <c r="H283" s="74"/>
      <c r="I283" s="74"/>
    </row>
    <row r="284">
      <c r="A284" s="77">
        <v>47.0</v>
      </c>
      <c r="B284" s="78" t="s">
        <v>959</v>
      </c>
      <c r="C284" s="78" t="s">
        <v>960</v>
      </c>
      <c r="D284" s="78" t="s">
        <v>961</v>
      </c>
      <c r="E284" s="78"/>
      <c r="F284" s="72" t="s">
        <v>8</v>
      </c>
      <c r="G284" s="84"/>
      <c r="H284" s="74"/>
      <c r="I284" s="74"/>
    </row>
    <row r="285">
      <c r="A285" s="77">
        <v>48.0</v>
      </c>
      <c r="B285" s="78" t="s">
        <v>962</v>
      </c>
      <c r="C285" s="78" t="s">
        <v>963</v>
      </c>
      <c r="D285" s="78" t="s">
        <v>964</v>
      </c>
      <c r="E285" s="78"/>
      <c r="F285" s="72" t="s">
        <v>8</v>
      </c>
      <c r="G285" s="84"/>
      <c r="H285" s="74"/>
      <c r="I285" s="74"/>
    </row>
    <row r="286">
      <c r="A286" s="77">
        <v>49.0</v>
      </c>
      <c r="B286" s="78" t="s">
        <v>570</v>
      </c>
      <c r="C286" s="78" t="s">
        <v>965</v>
      </c>
      <c r="D286" s="78" t="s">
        <v>572</v>
      </c>
      <c r="E286" s="78"/>
      <c r="F286" s="95" t="s">
        <v>8</v>
      </c>
      <c r="G286" s="78"/>
      <c r="H286" s="78"/>
      <c r="I286" s="78"/>
    </row>
    <row r="287">
      <c r="A287" s="66" t="s">
        <v>966</v>
      </c>
      <c r="B287" s="91"/>
      <c r="C287" s="91"/>
      <c r="D287" s="67"/>
      <c r="E287" s="79"/>
      <c r="F287" s="79"/>
      <c r="G287" s="80"/>
      <c r="H287" s="94"/>
      <c r="I287" s="94"/>
    </row>
    <row r="288">
      <c r="A288" s="77">
        <v>1.0</v>
      </c>
      <c r="B288" s="74" t="s">
        <v>967</v>
      </c>
      <c r="C288" s="83" t="s">
        <v>968</v>
      </c>
      <c r="D288" s="83" t="s">
        <v>808</v>
      </c>
      <c r="E288" s="74"/>
      <c r="F288" s="72" t="s">
        <v>8</v>
      </c>
      <c r="G288" s="84"/>
      <c r="H288" s="74"/>
      <c r="I288" s="74"/>
    </row>
    <row r="289">
      <c r="A289" s="77">
        <v>2.0</v>
      </c>
      <c r="B289" s="74" t="s">
        <v>969</v>
      </c>
      <c r="C289" s="83" t="s">
        <v>970</v>
      </c>
      <c r="D289" s="83" t="s">
        <v>971</v>
      </c>
      <c r="E289" s="74"/>
      <c r="F289" s="72" t="s">
        <v>8</v>
      </c>
      <c r="G289" s="84"/>
      <c r="H289" s="74"/>
      <c r="I289" s="74"/>
    </row>
    <row r="290">
      <c r="A290" s="77">
        <v>3.0</v>
      </c>
      <c r="B290" s="74" t="s">
        <v>972</v>
      </c>
      <c r="C290" s="83" t="s">
        <v>973</v>
      </c>
      <c r="D290" s="83" t="s">
        <v>974</v>
      </c>
      <c r="E290" s="74"/>
      <c r="F290" s="72" t="s">
        <v>8</v>
      </c>
      <c r="G290" s="84"/>
      <c r="H290" s="74"/>
      <c r="I290" s="74"/>
    </row>
    <row r="291">
      <c r="A291" s="77">
        <v>4.0</v>
      </c>
      <c r="B291" s="74" t="s">
        <v>975</v>
      </c>
      <c r="C291" s="83" t="s">
        <v>976</v>
      </c>
      <c r="D291" s="83" t="s">
        <v>624</v>
      </c>
      <c r="E291" s="74"/>
      <c r="F291" s="72" t="s">
        <v>8</v>
      </c>
      <c r="G291" s="84"/>
      <c r="H291" s="74"/>
      <c r="I291" s="74"/>
    </row>
    <row r="292">
      <c r="A292" s="77">
        <v>5.0</v>
      </c>
      <c r="B292" s="74" t="s">
        <v>977</v>
      </c>
      <c r="C292" s="83" t="s">
        <v>978</v>
      </c>
      <c r="D292" s="83" t="s">
        <v>979</v>
      </c>
      <c r="E292" s="74"/>
      <c r="F292" s="72" t="s">
        <v>8</v>
      </c>
      <c r="G292" s="84"/>
      <c r="H292" s="74"/>
      <c r="I292" s="74"/>
    </row>
    <row r="293">
      <c r="A293" s="77">
        <v>6.0</v>
      </c>
      <c r="B293" s="74" t="s">
        <v>980</v>
      </c>
      <c r="C293" s="83" t="s">
        <v>981</v>
      </c>
      <c r="D293" s="83" t="s">
        <v>982</v>
      </c>
      <c r="E293" s="74"/>
      <c r="F293" s="72" t="s">
        <v>8</v>
      </c>
      <c r="G293" s="84"/>
      <c r="H293" s="74"/>
      <c r="I293" s="74"/>
    </row>
    <row r="294">
      <c r="A294" s="77">
        <v>7.0</v>
      </c>
      <c r="B294" s="74" t="s">
        <v>983</v>
      </c>
      <c r="C294" s="83" t="s">
        <v>984</v>
      </c>
      <c r="D294" s="83" t="s">
        <v>985</v>
      </c>
      <c r="E294" s="74"/>
      <c r="F294" s="72" t="s">
        <v>8</v>
      </c>
      <c r="G294" s="84"/>
      <c r="H294" s="74"/>
      <c r="I294" s="74"/>
    </row>
    <row r="295">
      <c r="A295" s="77">
        <v>8.0</v>
      </c>
      <c r="B295" s="74" t="s">
        <v>986</v>
      </c>
      <c r="C295" s="83" t="s">
        <v>987</v>
      </c>
      <c r="D295" s="83" t="s">
        <v>988</v>
      </c>
      <c r="E295" s="74"/>
      <c r="F295" s="72" t="s">
        <v>8</v>
      </c>
      <c r="G295" s="84"/>
      <c r="H295" s="74"/>
      <c r="I295" s="74"/>
    </row>
    <row r="296">
      <c r="A296" s="77">
        <v>9.0</v>
      </c>
      <c r="B296" s="74" t="s">
        <v>989</v>
      </c>
      <c r="C296" s="83" t="s">
        <v>990</v>
      </c>
      <c r="D296" s="83" t="s">
        <v>991</v>
      </c>
      <c r="E296" s="74"/>
      <c r="F296" s="72" t="s">
        <v>8</v>
      </c>
      <c r="G296" s="84"/>
      <c r="H296" s="74"/>
      <c r="I296" s="74"/>
    </row>
    <row r="297">
      <c r="A297" s="77">
        <v>10.0</v>
      </c>
      <c r="B297" s="74" t="s">
        <v>992</v>
      </c>
      <c r="C297" s="83" t="s">
        <v>993</v>
      </c>
      <c r="D297" s="83" t="s">
        <v>994</v>
      </c>
      <c r="E297" s="74"/>
      <c r="F297" s="77" t="s">
        <v>8</v>
      </c>
      <c r="G297" s="84"/>
      <c r="H297" s="74"/>
      <c r="I297" s="74"/>
    </row>
    <row r="298">
      <c r="A298" s="77">
        <v>11.0</v>
      </c>
      <c r="B298" s="74" t="s">
        <v>995</v>
      </c>
      <c r="C298" s="83" t="s">
        <v>996</v>
      </c>
      <c r="D298" s="83" t="s">
        <v>997</v>
      </c>
      <c r="E298" s="74"/>
      <c r="F298" s="77" t="s">
        <v>8</v>
      </c>
      <c r="G298" s="84"/>
      <c r="H298" s="74"/>
      <c r="I298" s="74"/>
    </row>
    <row r="299">
      <c r="A299" s="77">
        <v>12.0</v>
      </c>
      <c r="B299" s="74" t="s">
        <v>998</v>
      </c>
      <c r="C299" s="83" t="s">
        <v>999</v>
      </c>
      <c r="D299" s="83" t="s">
        <v>684</v>
      </c>
      <c r="E299" s="74"/>
      <c r="F299" s="77" t="s">
        <v>8</v>
      </c>
      <c r="G299" s="84"/>
      <c r="H299" s="74"/>
      <c r="I299" s="74"/>
    </row>
    <row r="300">
      <c r="A300" s="77">
        <v>13.0</v>
      </c>
      <c r="B300" s="78" t="s">
        <v>570</v>
      </c>
      <c r="C300" s="78" t="s">
        <v>1000</v>
      </c>
      <c r="D300" s="78" t="s">
        <v>572</v>
      </c>
      <c r="E300" s="78"/>
      <c r="F300" s="77" t="s">
        <v>8</v>
      </c>
      <c r="G300" s="78"/>
      <c r="H300" s="78"/>
      <c r="I300" s="78"/>
    </row>
    <row r="301">
      <c r="A301" s="66" t="s">
        <v>1001</v>
      </c>
      <c r="B301" s="91"/>
      <c r="C301" s="91"/>
      <c r="D301" s="67"/>
      <c r="E301" s="79"/>
      <c r="F301" s="79"/>
      <c r="G301" s="80"/>
      <c r="H301" s="94"/>
      <c r="I301" s="94"/>
    </row>
    <row r="302">
      <c r="A302" s="77">
        <v>1.0</v>
      </c>
      <c r="B302" s="74" t="s">
        <v>1002</v>
      </c>
      <c r="C302" s="83" t="s">
        <v>1003</v>
      </c>
      <c r="D302" s="83" t="s">
        <v>808</v>
      </c>
      <c r="E302" s="74"/>
      <c r="F302" s="72" t="s">
        <v>8</v>
      </c>
      <c r="G302" s="84"/>
      <c r="H302" s="74"/>
      <c r="I302" s="74"/>
    </row>
    <row r="303">
      <c r="A303" s="77">
        <v>2.0</v>
      </c>
      <c r="B303" s="74" t="s">
        <v>969</v>
      </c>
      <c r="C303" s="83" t="s">
        <v>1004</v>
      </c>
      <c r="D303" s="83" t="s">
        <v>1005</v>
      </c>
      <c r="E303" s="74"/>
      <c r="F303" s="72" t="s">
        <v>8</v>
      </c>
      <c r="G303" s="84"/>
      <c r="H303" s="74"/>
      <c r="I303" s="74"/>
    </row>
    <row r="304">
      <c r="A304" s="77">
        <v>3.0</v>
      </c>
      <c r="B304" s="74" t="s">
        <v>1006</v>
      </c>
      <c r="C304" s="83" t="s">
        <v>1007</v>
      </c>
      <c r="D304" s="83" t="s">
        <v>974</v>
      </c>
      <c r="E304" s="74"/>
      <c r="F304" s="72" t="s">
        <v>8</v>
      </c>
      <c r="G304" s="84"/>
      <c r="H304" s="74"/>
      <c r="I304" s="74"/>
    </row>
    <row r="305">
      <c r="A305" s="77">
        <v>4.0</v>
      </c>
      <c r="B305" s="74" t="s">
        <v>1008</v>
      </c>
      <c r="C305" s="83" t="s">
        <v>1009</v>
      </c>
      <c r="D305" s="83" t="s">
        <v>1010</v>
      </c>
      <c r="E305" s="74"/>
      <c r="F305" s="72" t="s">
        <v>8</v>
      </c>
      <c r="G305" s="84"/>
      <c r="H305" s="74"/>
      <c r="I305" s="74"/>
    </row>
    <row r="306">
      <c r="A306" s="77">
        <v>5.0</v>
      </c>
      <c r="B306" s="74" t="s">
        <v>1011</v>
      </c>
      <c r="C306" s="83" t="s">
        <v>1012</v>
      </c>
      <c r="D306" s="83" t="s">
        <v>1013</v>
      </c>
      <c r="E306" s="74"/>
      <c r="F306" s="72" t="s">
        <v>8</v>
      </c>
      <c r="G306" s="84"/>
      <c r="H306" s="74"/>
      <c r="I306" s="74"/>
    </row>
    <row r="307">
      <c r="A307" s="77">
        <v>6.0</v>
      </c>
      <c r="B307" s="74" t="s">
        <v>1014</v>
      </c>
      <c r="C307" s="83" t="s">
        <v>1015</v>
      </c>
      <c r="D307" s="83" t="s">
        <v>818</v>
      </c>
      <c r="E307" s="74"/>
      <c r="F307" s="72" t="s">
        <v>8</v>
      </c>
      <c r="G307" s="84"/>
      <c r="H307" s="74"/>
      <c r="I307" s="74"/>
    </row>
    <row r="308">
      <c r="A308" s="77">
        <v>7.0</v>
      </c>
      <c r="B308" s="74" t="s">
        <v>1016</v>
      </c>
      <c r="C308" s="83" t="s">
        <v>1017</v>
      </c>
      <c r="D308" s="83" t="s">
        <v>1018</v>
      </c>
      <c r="E308" s="74"/>
      <c r="F308" s="72" t="s">
        <v>8</v>
      </c>
      <c r="G308" s="84"/>
      <c r="H308" s="74"/>
      <c r="I308" s="74"/>
    </row>
    <row r="309">
      <c r="A309" s="77">
        <v>8.0</v>
      </c>
      <c r="B309" s="74" t="s">
        <v>1019</v>
      </c>
      <c r="C309" s="83" t="s">
        <v>1020</v>
      </c>
      <c r="D309" s="83" t="s">
        <v>1021</v>
      </c>
      <c r="E309" s="74"/>
      <c r="F309" s="72" t="s">
        <v>8</v>
      </c>
      <c r="G309" s="84"/>
      <c r="H309" s="74"/>
      <c r="I309" s="74"/>
    </row>
    <row r="310">
      <c r="A310" s="77">
        <v>9.0</v>
      </c>
      <c r="B310" s="74" t="s">
        <v>1022</v>
      </c>
      <c r="C310" s="83" t="s">
        <v>1023</v>
      </c>
      <c r="D310" s="83" t="s">
        <v>1024</v>
      </c>
      <c r="E310" s="74"/>
      <c r="F310" s="72" t="s">
        <v>8</v>
      </c>
      <c r="G310" s="84"/>
      <c r="H310" s="74"/>
      <c r="I310" s="74"/>
    </row>
    <row r="311">
      <c r="A311" s="77">
        <v>10.0</v>
      </c>
      <c r="B311" s="74" t="s">
        <v>1025</v>
      </c>
      <c r="C311" s="83" t="s">
        <v>1026</v>
      </c>
      <c r="D311" s="83" t="s">
        <v>1027</v>
      </c>
      <c r="E311" s="74"/>
      <c r="F311" s="72" t="s">
        <v>8</v>
      </c>
      <c r="G311" s="84"/>
      <c r="H311" s="74"/>
      <c r="I311" s="74"/>
    </row>
    <row r="312">
      <c r="A312" s="77">
        <v>11.0</v>
      </c>
      <c r="B312" s="74" t="s">
        <v>1028</v>
      </c>
      <c r="C312" s="83" t="s">
        <v>1029</v>
      </c>
      <c r="D312" s="83" t="s">
        <v>1030</v>
      </c>
      <c r="E312" s="74"/>
      <c r="F312" s="72" t="s">
        <v>8</v>
      </c>
      <c r="G312" s="84"/>
      <c r="H312" s="74"/>
      <c r="I312" s="74"/>
    </row>
    <row r="313">
      <c r="A313" s="77">
        <v>12.0</v>
      </c>
      <c r="B313" s="74" t="s">
        <v>1031</v>
      </c>
      <c r="C313" s="83" t="s">
        <v>731</v>
      </c>
      <c r="D313" s="83" t="s">
        <v>828</v>
      </c>
      <c r="E313" s="74"/>
      <c r="F313" s="72" t="s">
        <v>8</v>
      </c>
      <c r="G313" s="84"/>
      <c r="H313" s="74"/>
      <c r="I313" s="74"/>
    </row>
    <row r="314">
      <c r="A314" s="77">
        <v>13.0</v>
      </c>
      <c r="B314" s="78" t="s">
        <v>570</v>
      </c>
      <c r="C314" s="78" t="s">
        <v>1032</v>
      </c>
      <c r="D314" s="78" t="s">
        <v>572</v>
      </c>
      <c r="E314" s="78"/>
      <c r="F314" s="72" t="s">
        <v>8</v>
      </c>
      <c r="G314" s="78"/>
      <c r="H314" s="78"/>
      <c r="I314" s="78"/>
    </row>
    <row r="315" hidden="1">
      <c r="A315" s="66" t="s">
        <v>1033</v>
      </c>
      <c r="B315" s="67"/>
      <c r="C315" s="79"/>
      <c r="D315" s="79"/>
      <c r="E315" s="79"/>
      <c r="F315" s="79"/>
      <c r="G315" s="80"/>
      <c r="H315" s="96"/>
      <c r="I315" s="96"/>
    </row>
    <row r="316" hidden="1">
      <c r="A316" s="97"/>
      <c r="B316" s="83" t="s">
        <v>1034</v>
      </c>
      <c r="C316" s="83" t="s">
        <v>1035</v>
      </c>
      <c r="D316" s="83" t="s">
        <v>1036</v>
      </c>
      <c r="E316" s="83"/>
      <c r="F316" s="96" t="s">
        <v>1037</v>
      </c>
      <c r="G316" s="83"/>
      <c r="H316" s="96"/>
      <c r="I316" s="96"/>
    </row>
    <row r="317" hidden="1">
      <c r="A317" s="97"/>
      <c r="B317" s="83" t="s">
        <v>1038</v>
      </c>
      <c r="C317" s="83" t="s">
        <v>1039</v>
      </c>
      <c r="D317" s="83" t="s">
        <v>1040</v>
      </c>
      <c r="E317" s="83"/>
      <c r="F317" s="96" t="s">
        <v>1037</v>
      </c>
      <c r="G317" s="83"/>
      <c r="H317" s="96"/>
      <c r="I317" s="96"/>
    </row>
    <row r="318" hidden="1">
      <c r="A318" s="97"/>
      <c r="B318" s="83" t="s">
        <v>1041</v>
      </c>
      <c r="C318" s="83" t="s">
        <v>1042</v>
      </c>
      <c r="D318" s="83" t="s">
        <v>1043</v>
      </c>
      <c r="E318" s="83"/>
      <c r="F318" s="96" t="s">
        <v>1037</v>
      </c>
      <c r="G318" s="98"/>
      <c r="H318" s="96"/>
      <c r="I318" s="96"/>
    </row>
    <row r="319" hidden="1">
      <c r="A319" s="97"/>
      <c r="B319" s="83" t="s">
        <v>1044</v>
      </c>
      <c r="C319" s="83" t="s">
        <v>1045</v>
      </c>
      <c r="D319" s="83" t="s">
        <v>1046</v>
      </c>
      <c r="E319" s="83"/>
      <c r="F319" s="96" t="s">
        <v>1037</v>
      </c>
      <c r="G319" s="98"/>
      <c r="H319" s="96"/>
      <c r="I319" s="96"/>
    </row>
    <row r="320" hidden="1">
      <c r="A320" s="97"/>
      <c r="B320" s="83" t="s">
        <v>1047</v>
      </c>
      <c r="C320" s="83" t="s">
        <v>1048</v>
      </c>
      <c r="D320" s="83" t="s">
        <v>1049</v>
      </c>
      <c r="E320" s="83"/>
      <c r="F320" s="96" t="s">
        <v>1037</v>
      </c>
      <c r="G320" s="98"/>
      <c r="H320" s="73"/>
      <c r="I320" s="73"/>
    </row>
    <row r="321" hidden="1">
      <c r="A321" s="97"/>
      <c r="B321" s="83" t="s">
        <v>1050</v>
      </c>
      <c r="C321" s="83" t="s">
        <v>1051</v>
      </c>
      <c r="D321" s="83" t="s">
        <v>1052</v>
      </c>
      <c r="E321" s="83"/>
      <c r="F321" s="96" t="s">
        <v>1037</v>
      </c>
      <c r="G321" s="98"/>
      <c r="H321" s="73"/>
      <c r="I321" s="73"/>
    </row>
    <row r="322" hidden="1">
      <c r="A322" s="66" t="s">
        <v>1053</v>
      </c>
      <c r="B322" s="67"/>
      <c r="C322" s="79"/>
      <c r="D322" s="79"/>
      <c r="E322" s="79"/>
      <c r="F322" s="79"/>
      <c r="G322" s="79"/>
      <c r="H322" s="73"/>
      <c r="I322" s="73"/>
    </row>
    <row r="323" hidden="1">
      <c r="A323" s="97"/>
      <c r="B323" s="83" t="s">
        <v>1054</v>
      </c>
      <c r="C323" s="83" t="s">
        <v>1055</v>
      </c>
      <c r="D323" s="83" t="s">
        <v>1056</v>
      </c>
      <c r="E323" s="97"/>
      <c r="F323" s="96" t="s">
        <v>1037</v>
      </c>
      <c r="G323" s="97"/>
      <c r="H323" s="73"/>
      <c r="I323" s="73"/>
    </row>
    <row r="324">
      <c r="A324" s="66" t="s">
        <v>1057</v>
      </c>
      <c r="B324" s="91"/>
      <c r="C324" s="91"/>
      <c r="D324" s="67"/>
      <c r="E324" s="79"/>
      <c r="F324" s="79"/>
      <c r="G324" s="80"/>
      <c r="H324" s="94"/>
      <c r="I324" s="94"/>
    </row>
    <row r="325">
      <c r="A325" s="77">
        <v>1.0</v>
      </c>
      <c r="B325" s="74" t="s">
        <v>1058</v>
      </c>
      <c r="C325" s="83" t="s">
        <v>1059</v>
      </c>
      <c r="D325" s="83" t="s">
        <v>1060</v>
      </c>
      <c r="E325" s="74"/>
      <c r="F325" s="72" t="s">
        <v>8</v>
      </c>
      <c r="G325" s="84"/>
      <c r="H325" s="74"/>
      <c r="I325" s="74"/>
    </row>
    <row r="326">
      <c r="A326" s="77">
        <v>2.0</v>
      </c>
      <c r="B326" s="74" t="s">
        <v>1061</v>
      </c>
      <c r="C326" s="83" t="s">
        <v>1062</v>
      </c>
      <c r="D326" s="83" t="s">
        <v>1063</v>
      </c>
      <c r="E326" s="74"/>
      <c r="F326" s="72" t="s">
        <v>8</v>
      </c>
      <c r="G326" s="84"/>
      <c r="H326" s="74"/>
      <c r="I326" s="74"/>
    </row>
    <row r="327">
      <c r="A327" s="77">
        <v>3.0</v>
      </c>
      <c r="B327" s="74" t="s">
        <v>1064</v>
      </c>
      <c r="C327" s="83" t="s">
        <v>1065</v>
      </c>
      <c r="D327" s="83" t="s">
        <v>1066</v>
      </c>
      <c r="E327" s="74"/>
      <c r="F327" s="72" t="s">
        <v>8</v>
      </c>
      <c r="G327" s="84"/>
      <c r="H327" s="74"/>
      <c r="I327" s="74"/>
    </row>
    <row r="328">
      <c r="A328" s="77">
        <v>4.0</v>
      </c>
      <c r="B328" s="74" t="s">
        <v>1067</v>
      </c>
      <c r="C328" s="83" t="s">
        <v>1068</v>
      </c>
      <c r="D328" s="83" t="s">
        <v>374</v>
      </c>
      <c r="E328" s="74"/>
      <c r="F328" s="72" t="s">
        <v>8</v>
      </c>
      <c r="G328" s="84"/>
      <c r="H328" s="74"/>
      <c r="I328" s="74"/>
    </row>
    <row r="329">
      <c r="A329" s="77">
        <v>5.0</v>
      </c>
      <c r="B329" s="74" t="s">
        <v>1069</v>
      </c>
      <c r="C329" s="83" t="s">
        <v>1070</v>
      </c>
      <c r="D329" s="83" t="s">
        <v>698</v>
      </c>
      <c r="E329" s="89" t="s">
        <v>241</v>
      </c>
      <c r="F329" s="75" t="s">
        <v>8</v>
      </c>
      <c r="G329" s="84"/>
      <c r="H329" s="76" t="s">
        <v>242</v>
      </c>
      <c r="I329" s="74"/>
    </row>
    <row r="330">
      <c r="A330" s="77">
        <v>6.0</v>
      </c>
      <c r="B330" s="74" t="s">
        <v>1071</v>
      </c>
      <c r="C330" s="83" t="s">
        <v>1072</v>
      </c>
      <c r="D330" s="83" t="s">
        <v>698</v>
      </c>
      <c r="E330" s="89" t="s">
        <v>701</v>
      </c>
      <c r="F330" s="75" t="s">
        <v>8</v>
      </c>
      <c r="G330" s="84"/>
      <c r="H330" s="93" t="s">
        <v>702</v>
      </c>
      <c r="I330" s="74"/>
    </row>
    <row r="331">
      <c r="A331" s="77">
        <v>7.0</v>
      </c>
      <c r="B331" s="74" t="s">
        <v>1073</v>
      </c>
      <c r="C331" s="83" t="s">
        <v>1074</v>
      </c>
      <c r="D331" s="83" t="s">
        <v>698</v>
      </c>
      <c r="E331" s="74"/>
      <c r="F331" s="72" t="s">
        <v>8</v>
      </c>
      <c r="G331" s="84"/>
      <c r="H331" s="74"/>
      <c r="I331" s="74"/>
    </row>
    <row r="332">
      <c r="A332" s="77">
        <v>8.0</v>
      </c>
      <c r="B332" s="74" t="s">
        <v>1075</v>
      </c>
      <c r="C332" s="83" t="s">
        <v>1076</v>
      </c>
      <c r="D332" s="83" t="s">
        <v>1077</v>
      </c>
      <c r="E332" s="74"/>
      <c r="F332" s="72" t="s">
        <v>8</v>
      </c>
      <c r="G332" s="84"/>
      <c r="H332" s="74"/>
      <c r="I332" s="74"/>
    </row>
    <row r="333">
      <c r="A333" s="77">
        <v>9.0</v>
      </c>
      <c r="B333" s="74" t="s">
        <v>1078</v>
      </c>
      <c r="C333" s="83" t="s">
        <v>1079</v>
      </c>
      <c r="D333" s="83" t="s">
        <v>1080</v>
      </c>
      <c r="E333" s="74"/>
      <c r="F333" s="72" t="s">
        <v>8</v>
      </c>
      <c r="G333" s="84"/>
      <c r="H333" s="74"/>
      <c r="I333" s="74"/>
    </row>
    <row r="334">
      <c r="A334" s="77">
        <v>10.0</v>
      </c>
      <c r="B334" s="74" t="s">
        <v>1081</v>
      </c>
      <c r="C334" s="83" t="s">
        <v>1082</v>
      </c>
      <c r="D334" s="83" t="s">
        <v>1083</v>
      </c>
      <c r="E334" s="74"/>
      <c r="F334" s="72" t="s">
        <v>8</v>
      </c>
      <c r="G334" s="84"/>
      <c r="H334" s="74"/>
      <c r="I334" s="74"/>
    </row>
    <row r="335">
      <c r="A335" s="77">
        <v>11.0</v>
      </c>
      <c r="B335" s="74" t="s">
        <v>1084</v>
      </c>
      <c r="C335" s="83" t="s">
        <v>1085</v>
      </c>
      <c r="D335" s="83" t="s">
        <v>1086</v>
      </c>
      <c r="E335" s="74"/>
      <c r="F335" s="72" t="s">
        <v>8</v>
      </c>
      <c r="G335" s="84"/>
      <c r="H335" s="74"/>
      <c r="I335" s="74"/>
    </row>
    <row r="336">
      <c r="A336" s="77">
        <v>12.0</v>
      </c>
      <c r="B336" s="74" t="s">
        <v>1087</v>
      </c>
      <c r="C336" s="83" t="s">
        <v>1088</v>
      </c>
      <c r="D336" s="83" t="s">
        <v>1089</v>
      </c>
      <c r="E336" s="74"/>
      <c r="F336" s="72" t="s">
        <v>8</v>
      </c>
      <c r="G336" s="84"/>
      <c r="H336" s="74"/>
      <c r="I336" s="74"/>
    </row>
    <row r="337">
      <c r="A337" s="77">
        <v>13.0</v>
      </c>
      <c r="B337" s="74" t="s">
        <v>1090</v>
      </c>
      <c r="C337" s="83" t="s">
        <v>1091</v>
      </c>
      <c r="D337" s="83" t="s">
        <v>1092</v>
      </c>
      <c r="E337" s="74"/>
      <c r="F337" s="72" t="s">
        <v>8</v>
      </c>
      <c r="G337" s="84"/>
      <c r="H337" s="74"/>
      <c r="I337" s="74"/>
    </row>
    <row r="338">
      <c r="A338" s="77">
        <v>14.0</v>
      </c>
      <c r="B338" s="74" t="s">
        <v>1093</v>
      </c>
      <c r="C338" s="83" t="s">
        <v>1094</v>
      </c>
      <c r="D338" s="83" t="s">
        <v>1095</v>
      </c>
      <c r="E338" s="74"/>
      <c r="F338" s="72" t="s">
        <v>8</v>
      </c>
      <c r="G338" s="84"/>
      <c r="H338" s="74"/>
      <c r="I338" s="74"/>
    </row>
    <row r="339">
      <c r="A339" s="77">
        <v>15.0</v>
      </c>
      <c r="B339" s="74" t="s">
        <v>1096</v>
      </c>
      <c r="C339" s="83" t="s">
        <v>1097</v>
      </c>
      <c r="D339" s="83" t="s">
        <v>1098</v>
      </c>
      <c r="E339" s="74"/>
      <c r="F339" s="72" t="s">
        <v>8</v>
      </c>
      <c r="G339" s="84"/>
      <c r="H339" s="74"/>
      <c r="I339" s="74"/>
    </row>
    <row r="340">
      <c r="A340" s="77">
        <v>16.0</v>
      </c>
      <c r="B340" s="74" t="s">
        <v>1099</v>
      </c>
      <c r="C340" s="83" t="s">
        <v>1100</v>
      </c>
      <c r="D340" s="83" t="s">
        <v>1101</v>
      </c>
      <c r="E340" s="74"/>
      <c r="F340" s="72" t="s">
        <v>8</v>
      </c>
      <c r="G340" s="84"/>
      <c r="H340" s="74"/>
      <c r="I340" s="74"/>
    </row>
    <row r="341">
      <c r="A341" s="77">
        <v>17.0</v>
      </c>
      <c r="B341" s="74" t="s">
        <v>1102</v>
      </c>
      <c r="C341" s="83" t="s">
        <v>1103</v>
      </c>
      <c r="D341" s="83" t="s">
        <v>1104</v>
      </c>
      <c r="E341" s="74"/>
      <c r="F341" s="72" t="s">
        <v>8</v>
      </c>
      <c r="G341" s="84"/>
      <c r="H341" s="74"/>
      <c r="I341" s="74"/>
    </row>
    <row r="342">
      <c r="A342" s="77">
        <v>18.0</v>
      </c>
      <c r="B342" s="74" t="s">
        <v>1105</v>
      </c>
      <c r="C342" s="83" t="s">
        <v>1106</v>
      </c>
      <c r="D342" s="83" t="s">
        <v>1107</v>
      </c>
      <c r="E342" s="74"/>
      <c r="F342" s="72" t="s">
        <v>8</v>
      </c>
      <c r="G342" s="84"/>
      <c r="H342" s="74"/>
      <c r="I342" s="74"/>
    </row>
    <row r="343">
      <c r="A343" s="77">
        <v>19.0</v>
      </c>
      <c r="B343" s="74" t="s">
        <v>1108</v>
      </c>
      <c r="C343" s="83" t="s">
        <v>1109</v>
      </c>
      <c r="D343" s="83" t="s">
        <v>1110</v>
      </c>
      <c r="E343" s="74"/>
      <c r="F343" s="72" t="s">
        <v>8</v>
      </c>
      <c r="G343" s="84"/>
      <c r="H343" s="74"/>
      <c r="I343" s="74"/>
    </row>
    <row r="344">
      <c r="A344" s="77">
        <v>20.0</v>
      </c>
      <c r="B344" s="74" t="s">
        <v>1111</v>
      </c>
      <c r="C344" s="83" t="s">
        <v>1112</v>
      </c>
      <c r="D344" s="83" t="s">
        <v>1113</v>
      </c>
      <c r="E344" s="74"/>
      <c r="F344" s="72" t="s">
        <v>8</v>
      </c>
      <c r="G344" s="84"/>
      <c r="H344" s="74"/>
      <c r="I344" s="74"/>
    </row>
    <row r="345">
      <c r="A345" s="77">
        <v>21.0</v>
      </c>
      <c r="B345" s="74" t="s">
        <v>1114</v>
      </c>
      <c r="C345" s="83" t="s">
        <v>1115</v>
      </c>
      <c r="D345" s="83" t="s">
        <v>1116</v>
      </c>
      <c r="E345" s="74"/>
      <c r="F345" s="72" t="s">
        <v>8</v>
      </c>
      <c r="G345" s="84"/>
      <c r="H345" s="74"/>
      <c r="I345" s="74"/>
    </row>
    <row r="346">
      <c r="A346" s="77">
        <v>22.0</v>
      </c>
      <c r="B346" s="74" t="s">
        <v>1117</v>
      </c>
      <c r="C346" s="83" t="s">
        <v>1118</v>
      </c>
      <c r="D346" s="83" t="s">
        <v>1119</v>
      </c>
      <c r="E346" s="74"/>
      <c r="F346" s="72" t="s">
        <v>8</v>
      </c>
      <c r="G346" s="84"/>
      <c r="H346" s="74"/>
      <c r="I346" s="74"/>
    </row>
    <row r="347">
      <c r="A347" s="77">
        <v>23.0</v>
      </c>
      <c r="B347" s="74" t="s">
        <v>1120</v>
      </c>
      <c r="C347" s="83" t="s">
        <v>1121</v>
      </c>
      <c r="D347" s="83" t="s">
        <v>1122</v>
      </c>
      <c r="E347" s="74"/>
      <c r="F347" s="72" t="s">
        <v>8</v>
      </c>
      <c r="G347" s="84"/>
      <c r="H347" s="74"/>
      <c r="I347" s="74"/>
    </row>
    <row r="348">
      <c r="A348" s="77">
        <v>24.0</v>
      </c>
      <c r="B348" s="74" t="s">
        <v>1123</v>
      </c>
      <c r="C348" s="83" t="s">
        <v>1015</v>
      </c>
      <c r="D348" s="83" t="s">
        <v>1124</v>
      </c>
      <c r="E348" s="74"/>
      <c r="F348" s="72" t="s">
        <v>8</v>
      </c>
      <c r="G348" s="84"/>
      <c r="H348" s="74"/>
      <c r="I348" s="74"/>
    </row>
    <row r="349">
      <c r="A349" s="77">
        <v>25.0</v>
      </c>
      <c r="B349" s="74" t="s">
        <v>1125</v>
      </c>
      <c r="C349" s="83" t="s">
        <v>1126</v>
      </c>
      <c r="D349" s="83" t="s">
        <v>1127</v>
      </c>
      <c r="E349" s="74"/>
      <c r="F349" s="72" t="s">
        <v>8</v>
      </c>
      <c r="G349" s="84"/>
      <c r="H349" s="74"/>
      <c r="I349" s="74"/>
    </row>
    <row r="350">
      <c r="A350" s="77">
        <v>26.0</v>
      </c>
      <c r="B350" s="76" t="s">
        <v>1128</v>
      </c>
      <c r="C350" s="83" t="s">
        <v>1129</v>
      </c>
      <c r="D350" s="83" t="s">
        <v>1130</v>
      </c>
      <c r="E350" s="76" t="s">
        <v>1131</v>
      </c>
      <c r="F350" s="75" t="s">
        <v>8</v>
      </c>
      <c r="G350" s="84"/>
      <c r="H350" s="76" t="s">
        <v>702</v>
      </c>
      <c r="I350" s="74"/>
    </row>
    <row r="351">
      <c r="A351" s="77">
        <v>27.0</v>
      </c>
      <c r="B351" s="74" t="s">
        <v>1132</v>
      </c>
      <c r="C351" s="83" t="s">
        <v>1133</v>
      </c>
      <c r="D351" s="83" t="s">
        <v>1134</v>
      </c>
      <c r="E351" s="74"/>
      <c r="F351" s="72" t="s">
        <v>8</v>
      </c>
      <c r="G351" s="84"/>
      <c r="H351" s="74"/>
      <c r="I351" s="74"/>
    </row>
    <row r="352">
      <c r="A352" s="77">
        <v>28.0</v>
      </c>
      <c r="B352" s="74" t="s">
        <v>1135</v>
      </c>
      <c r="C352" s="83" t="s">
        <v>1136</v>
      </c>
      <c r="D352" s="83" t="s">
        <v>684</v>
      </c>
      <c r="E352" s="74"/>
      <c r="F352" s="72" t="s">
        <v>8</v>
      </c>
      <c r="G352" s="84"/>
      <c r="H352" s="74"/>
      <c r="I352" s="74"/>
    </row>
    <row r="353">
      <c r="A353" s="77">
        <v>29.0</v>
      </c>
      <c r="B353" s="74" t="s">
        <v>1137</v>
      </c>
      <c r="C353" s="83" t="s">
        <v>1138</v>
      </c>
      <c r="D353" s="83" t="s">
        <v>684</v>
      </c>
      <c r="E353" s="74"/>
      <c r="F353" s="72" t="s">
        <v>8</v>
      </c>
      <c r="G353" s="84"/>
      <c r="H353" s="74"/>
      <c r="I353" s="74"/>
    </row>
    <row r="354">
      <c r="A354" s="77">
        <v>30.0</v>
      </c>
      <c r="B354" s="74" t="s">
        <v>682</v>
      </c>
      <c r="C354" s="83" t="s">
        <v>731</v>
      </c>
      <c r="D354" s="83" t="s">
        <v>684</v>
      </c>
      <c r="E354" s="74"/>
      <c r="F354" s="72" t="s">
        <v>8</v>
      </c>
      <c r="G354" s="84"/>
      <c r="H354" s="74"/>
      <c r="I354" s="74"/>
    </row>
    <row r="355">
      <c r="A355" s="77">
        <v>31.0</v>
      </c>
      <c r="B355" s="74" t="s">
        <v>1139</v>
      </c>
      <c r="C355" s="83" t="s">
        <v>1140</v>
      </c>
      <c r="D355" s="83" t="s">
        <v>684</v>
      </c>
      <c r="E355" s="74"/>
      <c r="F355" s="72" t="s">
        <v>8</v>
      </c>
      <c r="G355" s="84"/>
      <c r="H355" s="74"/>
      <c r="I355" s="74"/>
    </row>
    <row r="356">
      <c r="A356" s="77">
        <v>32.0</v>
      </c>
      <c r="B356" s="74" t="s">
        <v>1141</v>
      </c>
      <c r="C356" s="83" t="s">
        <v>1142</v>
      </c>
      <c r="D356" s="83" t="s">
        <v>1143</v>
      </c>
      <c r="E356" s="74"/>
      <c r="F356" s="72" t="s">
        <v>8</v>
      </c>
      <c r="G356" s="84"/>
      <c r="H356" s="74"/>
      <c r="I356" s="74"/>
    </row>
    <row r="357">
      <c r="A357" s="77">
        <v>33.0</v>
      </c>
      <c r="B357" s="74" t="s">
        <v>564</v>
      </c>
      <c r="C357" s="74" t="s">
        <v>565</v>
      </c>
      <c r="D357" s="74" t="s">
        <v>566</v>
      </c>
      <c r="E357" s="74"/>
      <c r="F357" s="72" t="s">
        <v>8</v>
      </c>
      <c r="G357" s="74"/>
      <c r="H357" s="74"/>
      <c r="I357" s="74"/>
    </row>
    <row r="358">
      <c r="A358" s="77">
        <v>34.0</v>
      </c>
      <c r="B358" s="74" t="s">
        <v>738</v>
      </c>
      <c r="C358" s="83" t="s">
        <v>1144</v>
      </c>
      <c r="D358" s="83" t="s">
        <v>569</v>
      </c>
      <c r="E358" s="74"/>
      <c r="F358" s="72" t="s">
        <v>8</v>
      </c>
      <c r="G358" s="84"/>
      <c r="H358" s="74"/>
      <c r="I358" s="74"/>
    </row>
    <row r="359">
      <c r="A359" s="77">
        <v>35.0</v>
      </c>
      <c r="B359" s="78" t="s">
        <v>570</v>
      </c>
      <c r="C359" s="78" t="s">
        <v>1145</v>
      </c>
      <c r="D359" s="78" t="s">
        <v>572</v>
      </c>
      <c r="E359" s="78"/>
      <c r="F359" s="75" t="s">
        <v>8</v>
      </c>
      <c r="G359" s="78"/>
      <c r="H359" s="78"/>
      <c r="I359" s="78"/>
    </row>
    <row r="360">
      <c r="A360" s="77">
        <v>36.0</v>
      </c>
      <c r="B360" s="74" t="s">
        <v>1146</v>
      </c>
      <c r="C360" s="83" t="s">
        <v>1147</v>
      </c>
      <c r="D360" s="83" t="s">
        <v>1148</v>
      </c>
      <c r="E360" s="74"/>
      <c r="F360" s="72" t="s">
        <v>8</v>
      </c>
      <c r="G360" s="84"/>
      <c r="H360" s="74"/>
      <c r="I360" s="74"/>
    </row>
    <row r="361">
      <c r="A361" s="66" t="s">
        <v>62</v>
      </c>
      <c r="B361" s="91"/>
      <c r="C361" s="91"/>
      <c r="D361" s="67"/>
      <c r="E361" s="79"/>
      <c r="F361" s="79"/>
      <c r="G361" s="80"/>
      <c r="H361" s="94"/>
      <c r="I361" s="94"/>
    </row>
    <row r="362">
      <c r="A362" s="77">
        <v>1.0</v>
      </c>
      <c r="B362" s="74" t="s">
        <v>1149</v>
      </c>
      <c r="C362" s="83" t="s">
        <v>1150</v>
      </c>
      <c r="D362" s="83" t="s">
        <v>1151</v>
      </c>
      <c r="E362" s="74"/>
      <c r="F362" s="72" t="s">
        <v>8</v>
      </c>
      <c r="G362" s="84"/>
      <c r="H362" s="74"/>
      <c r="I362" s="74"/>
    </row>
    <row r="363">
      <c r="A363" s="77">
        <v>2.0</v>
      </c>
      <c r="B363" s="74" t="s">
        <v>1152</v>
      </c>
      <c r="C363" s="83" t="s">
        <v>1153</v>
      </c>
      <c r="D363" s="83" t="s">
        <v>1154</v>
      </c>
      <c r="E363" s="74"/>
      <c r="F363" s="72" t="s">
        <v>8</v>
      </c>
      <c r="G363" s="84"/>
      <c r="H363" s="74"/>
      <c r="I363" s="74"/>
    </row>
    <row r="364">
      <c r="A364" s="77">
        <v>3.0</v>
      </c>
      <c r="B364" s="74" t="s">
        <v>1155</v>
      </c>
      <c r="C364" s="83" t="s">
        <v>1156</v>
      </c>
      <c r="D364" s="83" t="s">
        <v>1157</v>
      </c>
      <c r="E364" s="74"/>
      <c r="F364" s="72" t="s">
        <v>8</v>
      </c>
      <c r="G364" s="84"/>
      <c r="H364" s="74"/>
      <c r="I364" s="74"/>
    </row>
    <row r="365">
      <c r="A365" s="77">
        <v>4.0</v>
      </c>
      <c r="B365" s="74" t="s">
        <v>1158</v>
      </c>
      <c r="C365" s="83" t="s">
        <v>1159</v>
      </c>
      <c r="D365" s="83" t="s">
        <v>374</v>
      </c>
      <c r="E365" s="74"/>
      <c r="F365" s="72" t="s">
        <v>8</v>
      </c>
      <c r="G365" s="84"/>
      <c r="H365" s="74"/>
      <c r="I365" s="74"/>
    </row>
    <row r="366">
      <c r="A366" s="77">
        <v>5.0</v>
      </c>
      <c r="B366" s="74" t="s">
        <v>1160</v>
      </c>
      <c r="C366" s="83" t="s">
        <v>1161</v>
      </c>
      <c r="D366" s="83" t="s">
        <v>374</v>
      </c>
      <c r="E366" s="74"/>
      <c r="F366" s="72" t="s">
        <v>8</v>
      </c>
      <c r="G366" s="84"/>
      <c r="H366" s="74"/>
      <c r="I366" s="74"/>
    </row>
    <row r="367">
      <c r="A367" s="77">
        <v>6.0</v>
      </c>
      <c r="B367" s="74" t="s">
        <v>1069</v>
      </c>
      <c r="C367" s="83" t="s">
        <v>1162</v>
      </c>
      <c r="D367" s="83" t="s">
        <v>374</v>
      </c>
      <c r="E367" s="89" t="s">
        <v>241</v>
      </c>
      <c r="F367" s="75" t="s">
        <v>8</v>
      </c>
      <c r="G367" s="84"/>
      <c r="H367" s="76" t="s">
        <v>242</v>
      </c>
      <c r="I367" s="74"/>
    </row>
    <row r="368">
      <c r="A368" s="77">
        <v>7.0</v>
      </c>
      <c r="B368" s="74" t="s">
        <v>1163</v>
      </c>
      <c r="C368" s="83" t="s">
        <v>1164</v>
      </c>
      <c r="D368" s="83" t="s">
        <v>374</v>
      </c>
      <c r="E368" s="89" t="s">
        <v>701</v>
      </c>
      <c r="F368" s="75" t="s">
        <v>8</v>
      </c>
      <c r="G368" s="84"/>
      <c r="H368" s="93" t="s">
        <v>702</v>
      </c>
      <c r="I368" s="74"/>
    </row>
    <row r="369">
      <c r="A369" s="77">
        <v>8.0</v>
      </c>
      <c r="B369" s="74" t="s">
        <v>1105</v>
      </c>
      <c r="C369" s="83" t="s">
        <v>1106</v>
      </c>
      <c r="D369" s="83" t="s">
        <v>1165</v>
      </c>
      <c r="E369" s="74"/>
      <c r="F369" s="72" t="s">
        <v>8</v>
      </c>
      <c r="G369" s="84"/>
      <c r="H369" s="74"/>
      <c r="I369" s="74"/>
    </row>
    <row r="370">
      <c r="A370" s="77">
        <v>9.0</v>
      </c>
      <c r="B370" s="74" t="s">
        <v>1166</v>
      </c>
      <c r="C370" s="83" t="s">
        <v>1167</v>
      </c>
      <c r="D370" s="83" t="s">
        <v>1168</v>
      </c>
      <c r="E370" s="74"/>
      <c r="F370" s="72" t="s">
        <v>8</v>
      </c>
      <c r="G370" s="84"/>
      <c r="H370" s="74"/>
      <c r="I370" s="74"/>
    </row>
    <row r="371">
      <c r="A371" s="77">
        <v>10.0</v>
      </c>
      <c r="B371" s="74" t="s">
        <v>1169</v>
      </c>
      <c r="C371" s="83" t="s">
        <v>1170</v>
      </c>
      <c r="D371" s="83" t="s">
        <v>1171</v>
      </c>
      <c r="E371" s="74"/>
      <c r="F371" s="72" t="s">
        <v>8</v>
      </c>
      <c r="G371" s="84"/>
      <c r="H371" s="74"/>
      <c r="I371" s="74"/>
    </row>
    <row r="372">
      <c r="A372" s="77">
        <v>11.0</v>
      </c>
      <c r="B372" s="74" t="s">
        <v>1172</v>
      </c>
      <c r="C372" s="83" t="s">
        <v>1173</v>
      </c>
      <c r="D372" s="83" t="s">
        <v>1124</v>
      </c>
      <c r="E372" s="74"/>
      <c r="F372" s="72" t="s">
        <v>8</v>
      </c>
      <c r="G372" s="84"/>
      <c r="H372" s="74"/>
      <c r="I372" s="74"/>
    </row>
    <row r="373">
      <c r="A373" s="77">
        <v>12.0</v>
      </c>
      <c r="B373" s="74" t="s">
        <v>1174</v>
      </c>
      <c r="C373" s="74" t="s">
        <v>1175</v>
      </c>
      <c r="D373" s="74" t="s">
        <v>374</v>
      </c>
      <c r="E373" s="74"/>
      <c r="F373" s="72" t="s">
        <v>8</v>
      </c>
      <c r="G373" s="74"/>
      <c r="H373" s="74"/>
      <c r="I373" s="74"/>
    </row>
    <row r="374">
      <c r="A374" s="77">
        <v>13.0</v>
      </c>
      <c r="B374" s="74" t="s">
        <v>1176</v>
      </c>
      <c r="C374" s="74" t="s">
        <v>1177</v>
      </c>
      <c r="D374" s="74" t="s">
        <v>1178</v>
      </c>
      <c r="E374" s="74"/>
      <c r="F374" s="72" t="s">
        <v>8</v>
      </c>
      <c r="G374" s="74"/>
      <c r="H374" s="74"/>
      <c r="I374" s="74"/>
    </row>
    <row r="375">
      <c r="A375" s="77">
        <v>14.0</v>
      </c>
      <c r="B375" s="74" t="s">
        <v>1179</v>
      </c>
      <c r="C375" s="74" t="s">
        <v>1180</v>
      </c>
      <c r="D375" s="74" t="s">
        <v>1181</v>
      </c>
      <c r="E375" s="74"/>
      <c r="F375" s="72" t="s">
        <v>8</v>
      </c>
      <c r="G375" s="74"/>
      <c r="H375" s="74"/>
      <c r="I375" s="74"/>
    </row>
    <row r="376">
      <c r="A376" s="77">
        <v>15.0</v>
      </c>
      <c r="B376" s="74" t="s">
        <v>1182</v>
      </c>
      <c r="C376" s="74" t="s">
        <v>1183</v>
      </c>
      <c r="D376" s="74" t="s">
        <v>1184</v>
      </c>
      <c r="E376" s="74"/>
      <c r="F376" s="72" t="s">
        <v>8</v>
      </c>
      <c r="G376" s="74"/>
      <c r="H376" s="74"/>
      <c r="I376" s="74"/>
    </row>
    <row r="377">
      <c r="A377" s="77">
        <v>16.0</v>
      </c>
      <c r="B377" s="74" t="s">
        <v>1185</v>
      </c>
      <c r="C377" s="74" t="s">
        <v>559</v>
      </c>
      <c r="D377" s="74" t="s">
        <v>1186</v>
      </c>
      <c r="E377" s="74"/>
      <c r="F377" s="72" t="s">
        <v>8</v>
      </c>
      <c r="G377" s="74"/>
      <c r="H377" s="74"/>
      <c r="I377" s="74"/>
    </row>
    <row r="378">
      <c r="A378" s="77">
        <v>17.0</v>
      </c>
      <c r="B378" s="74" t="s">
        <v>1187</v>
      </c>
      <c r="C378" s="74" t="s">
        <v>731</v>
      </c>
      <c r="D378" s="74" t="s">
        <v>1188</v>
      </c>
      <c r="E378" s="74"/>
      <c r="F378" s="72" t="s">
        <v>8</v>
      </c>
      <c r="G378" s="74"/>
      <c r="H378" s="74"/>
      <c r="I378" s="74"/>
    </row>
    <row r="379">
      <c r="A379" s="77">
        <v>18.0</v>
      </c>
      <c r="B379" s="74" t="s">
        <v>1189</v>
      </c>
      <c r="C379" s="74" t="s">
        <v>1190</v>
      </c>
      <c r="D379" s="74" t="s">
        <v>1188</v>
      </c>
      <c r="E379" s="74"/>
      <c r="F379" s="72" t="s">
        <v>8</v>
      </c>
      <c r="G379" s="74"/>
      <c r="H379" s="74"/>
      <c r="I379" s="74"/>
    </row>
    <row r="380">
      <c r="A380" s="77">
        <v>19.0</v>
      </c>
      <c r="B380" s="74" t="s">
        <v>564</v>
      </c>
      <c r="C380" s="74" t="s">
        <v>565</v>
      </c>
      <c r="D380" s="74" t="s">
        <v>566</v>
      </c>
      <c r="E380" s="74"/>
      <c r="F380" s="72" t="s">
        <v>8</v>
      </c>
      <c r="G380" s="74"/>
      <c r="H380" s="74"/>
      <c r="I380" s="74"/>
    </row>
    <row r="381">
      <c r="A381" s="77">
        <v>20.0</v>
      </c>
      <c r="B381" s="74" t="s">
        <v>1191</v>
      </c>
      <c r="C381" s="83" t="s">
        <v>1144</v>
      </c>
      <c r="D381" s="83" t="s">
        <v>1192</v>
      </c>
      <c r="E381" s="74"/>
      <c r="F381" s="72" t="s">
        <v>8</v>
      </c>
      <c r="G381" s="84"/>
      <c r="H381" s="74"/>
      <c r="I381" s="74"/>
    </row>
    <row r="382">
      <c r="A382" s="77">
        <v>21.0</v>
      </c>
      <c r="B382" s="78" t="s">
        <v>570</v>
      </c>
      <c r="C382" s="78" t="s">
        <v>1193</v>
      </c>
      <c r="D382" s="78" t="s">
        <v>572</v>
      </c>
      <c r="E382" s="78"/>
      <c r="F382" s="72" t="s">
        <v>8</v>
      </c>
      <c r="G382" s="78"/>
      <c r="H382" s="78"/>
      <c r="I382" s="78"/>
    </row>
    <row r="383">
      <c r="A383" s="66" t="s">
        <v>25</v>
      </c>
      <c r="B383" s="67"/>
      <c r="C383" s="79"/>
      <c r="D383" s="79"/>
      <c r="E383" s="79"/>
      <c r="F383" s="79"/>
      <c r="G383" s="80"/>
      <c r="H383" s="80"/>
      <c r="I383" s="80"/>
    </row>
    <row r="384">
      <c r="A384" s="70">
        <v>1.0</v>
      </c>
      <c r="B384" s="71" t="s">
        <v>1194</v>
      </c>
      <c r="C384" s="71" t="s">
        <v>1195</v>
      </c>
      <c r="D384" s="71" t="s">
        <v>1196</v>
      </c>
      <c r="E384" s="71"/>
      <c r="F384" s="72" t="s">
        <v>8</v>
      </c>
      <c r="G384" s="84"/>
      <c r="H384" s="74"/>
      <c r="I384" s="74"/>
    </row>
    <row r="385">
      <c r="A385" s="70">
        <v>2.0</v>
      </c>
      <c r="B385" s="71" t="s">
        <v>1197</v>
      </c>
      <c r="C385" s="71" t="s">
        <v>1198</v>
      </c>
      <c r="D385" s="71" t="s">
        <v>1199</v>
      </c>
      <c r="E385" s="71"/>
      <c r="F385" s="72" t="s">
        <v>8</v>
      </c>
      <c r="G385" s="84"/>
      <c r="H385" s="74"/>
      <c r="I385" s="74"/>
    </row>
    <row r="386">
      <c r="A386" s="70">
        <v>3.0</v>
      </c>
      <c r="B386" s="71" t="s">
        <v>1200</v>
      </c>
      <c r="C386" s="71" t="s">
        <v>1201</v>
      </c>
      <c r="D386" s="71" t="s">
        <v>1202</v>
      </c>
      <c r="E386" s="71"/>
      <c r="F386" s="72" t="s">
        <v>8</v>
      </c>
      <c r="G386" s="84"/>
      <c r="H386" s="74"/>
      <c r="I386" s="74"/>
    </row>
    <row r="387">
      <c r="A387" s="70">
        <v>4.0</v>
      </c>
      <c r="B387" s="71" t="s">
        <v>1203</v>
      </c>
      <c r="C387" s="71" t="s">
        <v>1204</v>
      </c>
      <c r="D387" s="71" t="s">
        <v>1205</v>
      </c>
      <c r="E387" s="71"/>
      <c r="F387" s="72" t="s">
        <v>8</v>
      </c>
      <c r="G387" s="84"/>
      <c r="H387" s="74"/>
      <c r="I387" s="74"/>
    </row>
    <row r="388">
      <c r="A388" s="70">
        <v>5.0</v>
      </c>
      <c r="B388" s="71" t="s">
        <v>1206</v>
      </c>
      <c r="C388" s="71" t="s">
        <v>1207</v>
      </c>
      <c r="D388" s="71" t="s">
        <v>1208</v>
      </c>
      <c r="E388" s="71"/>
      <c r="F388" s="72" t="s">
        <v>8</v>
      </c>
      <c r="G388" s="84"/>
      <c r="H388" s="74"/>
      <c r="I388" s="74"/>
    </row>
    <row r="389">
      <c r="A389" s="70">
        <v>6.0</v>
      </c>
      <c r="B389" s="71" t="s">
        <v>1209</v>
      </c>
      <c r="C389" s="71" t="s">
        <v>1210</v>
      </c>
      <c r="D389" s="71" t="s">
        <v>1211</v>
      </c>
      <c r="E389" s="71"/>
      <c r="F389" s="72" t="s">
        <v>8</v>
      </c>
      <c r="G389" s="84"/>
      <c r="H389" s="74"/>
      <c r="I389" s="74"/>
    </row>
    <row r="390">
      <c r="A390" s="70">
        <v>7.0</v>
      </c>
      <c r="B390" s="71" t="s">
        <v>1212</v>
      </c>
      <c r="C390" s="71" t="s">
        <v>1213</v>
      </c>
      <c r="D390" s="71" t="s">
        <v>1214</v>
      </c>
      <c r="E390" s="71"/>
      <c r="F390" s="72" t="s">
        <v>8</v>
      </c>
      <c r="G390" s="84"/>
      <c r="H390" s="74"/>
      <c r="I390" s="74"/>
    </row>
    <row r="391">
      <c r="A391" s="70">
        <v>8.0</v>
      </c>
      <c r="B391" s="71" t="s">
        <v>1215</v>
      </c>
      <c r="C391" s="71" t="s">
        <v>1216</v>
      </c>
      <c r="D391" s="71" t="s">
        <v>1217</v>
      </c>
      <c r="E391" s="71"/>
      <c r="F391" s="72" t="s">
        <v>8</v>
      </c>
      <c r="G391" s="84"/>
      <c r="H391" s="74"/>
      <c r="I391" s="74"/>
    </row>
    <row r="392">
      <c r="A392" s="70">
        <v>9.0</v>
      </c>
      <c r="B392" s="71" t="s">
        <v>1218</v>
      </c>
      <c r="C392" s="71" t="s">
        <v>1219</v>
      </c>
      <c r="D392" s="71" t="s">
        <v>1220</v>
      </c>
      <c r="E392" s="71"/>
      <c r="F392" s="72" t="s">
        <v>8</v>
      </c>
      <c r="G392" s="84"/>
      <c r="H392" s="74"/>
      <c r="I392" s="74"/>
    </row>
    <row r="393">
      <c r="A393" s="70">
        <v>10.0</v>
      </c>
      <c r="B393" s="71" t="s">
        <v>1221</v>
      </c>
      <c r="C393" s="71" t="s">
        <v>1222</v>
      </c>
      <c r="D393" s="71" t="s">
        <v>1223</v>
      </c>
      <c r="E393" s="71"/>
      <c r="F393" s="72" t="s">
        <v>8</v>
      </c>
      <c r="G393" s="84"/>
      <c r="H393" s="74"/>
      <c r="I393" s="74"/>
    </row>
    <row r="394">
      <c r="A394" s="70">
        <v>11.0</v>
      </c>
      <c r="B394" s="78" t="s">
        <v>570</v>
      </c>
      <c r="C394" s="78" t="s">
        <v>1193</v>
      </c>
      <c r="D394" s="78" t="s">
        <v>572</v>
      </c>
      <c r="E394" s="78"/>
      <c r="F394" s="72" t="s">
        <v>8</v>
      </c>
      <c r="G394" s="78"/>
      <c r="H394" s="78"/>
      <c r="I394" s="78"/>
    </row>
    <row r="395">
      <c r="A395" s="66" t="s">
        <v>63</v>
      </c>
      <c r="B395" s="67"/>
      <c r="C395" s="79"/>
      <c r="D395" s="79"/>
      <c r="E395" s="79"/>
      <c r="F395" s="79"/>
      <c r="G395" s="80"/>
      <c r="H395" s="80"/>
      <c r="I395" s="80"/>
    </row>
    <row r="396">
      <c r="A396" s="77">
        <v>1.0</v>
      </c>
      <c r="B396" s="74" t="s">
        <v>1224</v>
      </c>
      <c r="C396" s="83" t="s">
        <v>1225</v>
      </c>
      <c r="D396" s="83" t="s">
        <v>1226</v>
      </c>
      <c r="E396" s="74"/>
      <c r="F396" s="72" t="s">
        <v>8</v>
      </c>
      <c r="G396" s="84"/>
      <c r="H396" s="74"/>
      <c r="I396" s="74"/>
    </row>
    <row r="397">
      <c r="A397" s="77">
        <v>2.0</v>
      </c>
      <c r="B397" s="74" t="s">
        <v>1227</v>
      </c>
      <c r="C397" s="83" t="s">
        <v>1228</v>
      </c>
      <c r="D397" s="83" t="s">
        <v>1229</v>
      </c>
      <c r="E397" s="74"/>
      <c r="F397" s="72" t="s">
        <v>8</v>
      </c>
      <c r="G397" s="84"/>
      <c r="H397" s="74"/>
      <c r="I397" s="74"/>
    </row>
    <row r="398">
      <c r="A398" s="77">
        <v>3.0</v>
      </c>
      <c r="B398" s="74" t="s">
        <v>1230</v>
      </c>
      <c r="C398" s="83" t="s">
        <v>1231</v>
      </c>
      <c r="D398" s="83" t="s">
        <v>374</v>
      </c>
      <c r="E398" s="74"/>
      <c r="F398" s="72" t="s">
        <v>8</v>
      </c>
      <c r="G398" s="84"/>
      <c r="H398" s="74"/>
      <c r="I398" s="74"/>
    </row>
    <row r="399">
      <c r="A399" s="77">
        <v>4.0</v>
      </c>
      <c r="B399" s="74" t="s">
        <v>1232</v>
      </c>
      <c r="C399" s="83" t="s">
        <v>1233</v>
      </c>
      <c r="D399" s="83" t="s">
        <v>374</v>
      </c>
      <c r="E399" s="74"/>
      <c r="F399" s="72" t="s">
        <v>8</v>
      </c>
      <c r="G399" s="84"/>
      <c r="H399" s="74"/>
      <c r="I399" s="74"/>
    </row>
    <row r="400">
      <c r="A400" s="77">
        <v>5.0</v>
      </c>
      <c r="B400" s="74" t="s">
        <v>1234</v>
      </c>
      <c r="C400" s="83" t="s">
        <v>1235</v>
      </c>
      <c r="D400" s="83" t="s">
        <v>374</v>
      </c>
      <c r="E400" s="74"/>
      <c r="F400" s="72" t="s">
        <v>8</v>
      </c>
      <c r="G400" s="84"/>
      <c r="H400" s="74"/>
      <c r="I400" s="74"/>
    </row>
    <row r="401">
      <c r="A401" s="77">
        <v>6.0</v>
      </c>
      <c r="B401" s="74" t="s">
        <v>1236</v>
      </c>
      <c r="C401" s="74" t="s">
        <v>1237</v>
      </c>
      <c r="D401" s="74" t="s">
        <v>374</v>
      </c>
      <c r="E401" s="74"/>
      <c r="F401" s="72" t="s">
        <v>8</v>
      </c>
      <c r="G401" s="74"/>
      <c r="H401" s="74"/>
      <c r="I401" s="74"/>
    </row>
    <row r="402">
      <c r="A402" s="77">
        <v>7.0</v>
      </c>
      <c r="B402" s="74" t="s">
        <v>1238</v>
      </c>
      <c r="C402" s="74" t="s">
        <v>1239</v>
      </c>
      <c r="D402" s="74" t="s">
        <v>374</v>
      </c>
      <c r="E402" s="74"/>
      <c r="F402" s="72" t="s">
        <v>8</v>
      </c>
      <c r="G402" s="74"/>
      <c r="H402" s="74"/>
      <c r="I402" s="74"/>
    </row>
    <row r="403">
      <c r="A403" s="77">
        <v>8.0</v>
      </c>
      <c r="B403" s="74" t="s">
        <v>1240</v>
      </c>
      <c r="C403" s="74" t="s">
        <v>1241</v>
      </c>
      <c r="D403" s="74" t="s">
        <v>1242</v>
      </c>
      <c r="E403" s="74"/>
      <c r="F403" s="72" t="s">
        <v>8</v>
      </c>
      <c r="G403" s="74"/>
      <c r="H403" s="74"/>
      <c r="I403" s="74"/>
    </row>
    <row r="404">
      <c r="A404" s="77">
        <v>9.0</v>
      </c>
      <c r="B404" s="74" t="s">
        <v>1243</v>
      </c>
      <c r="C404" s="74" t="s">
        <v>1244</v>
      </c>
      <c r="D404" s="74" t="s">
        <v>1010</v>
      </c>
      <c r="E404" s="74"/>
      <c r="F404" s="72" t="s">
        <v>8</v>
      </c>
      <c r="G404" s="74"/>
      <c r="H404" s="74"/>
      <c r="I404" s="74"/>
    </row>
    <row r="405">
      <c r="A405" s="77">
        <v>10.0</v>
      </c>
      <c r="B405" s="74" t="s">
        <v>1245</v>
      </c>
      <c r="C405" s="74" t="s">
        <v>1246</v>
      </c>
      <c r="D405" s="74" t="s">
        <v>1247</v>
      </c>
      <c r="E405" s="74"/>
      <c r="F405" s="72" t="s">
        <v>8</v>
      </c>
      <c r="G405" s="74"/>
      <c r="H405" s="74"/>
      <c r="I405" s="74"/>
    </row>
    <row r="406">
      <c r="A406" s="77">
        <v>11.0</v>
      </c>
      <c r="B406" s="74" t="s">
        <v>1248</v>
      </c>
      <c r="C406" s="74" t="s">
        <v>1249</v>
      </c>
      <c r="D406" s="74" t="s">
        <v>1124</v>
      </c>
      <c r="E406" s="74"/>
      <c r="F406" s="72" t="s">
        <v>8</v>
      </c>
      <c r="G406" s="74"/>
      <c r="H406" s="74"/>
      <c r="I406" s="74"/>
    </row>
    <row r="407">
      <c r="A407" s="77">
        <v>12.0</v>
      </c>
      <c r="B407" s="74" t="s">
        <v>1250</v>
      </c>
      <c r="C407" s="74" t="s">
        <v>1251</v>
      </c>
      <c r="D407" s="74" t="s">
        <v>1252</v>
      </c>
      <c r="E407" s="74"/>
      <c r="F407" s="72" t="s">
        <v>8</v>
      </c>
      <c r="G407" s="74"/>
      <c r="H407" s="74"/>
      <c r="I407" s="74"/>
    </row>
    <row r="408">
      <c r="A408" s="77">
        <v>13.0</v>
      </c>
      <c r="B408" s="74" t="s">
        <v>1253</v>
      </c>
      <c r="C408" s="74" t="s">
        <v>1254</v>
      </c>
      <c r="D408" s="74" t="s">
        <v>1255</v>
      </c>
      <c r="E408" s="74"/>
      <c r="F408" s="72" t="s">
        <v>8</v>
      </c>
      <c r="G408" s="74"/>
      <c r="H408" s="74"/>
      <c r="I408" s="74"/>
    </row>
    <row r="409">
      <c r="A409" s="77">
        <v>14.0</v>
      </c>
      <c r="B409" s="74" t="s">
        <v>1256</v>
      </c>
      <c r="C409" s="74" t="s">
        <v>1257</v>
      </c>
      <c r="D409" s="74" t="s">
        <v>1258</v>
      </c>
      <c r="E409" s="74"/>
      <c r="F409" s="75" t="s">
        <v>8</v>
      </c>
      <c r="G409" s="74"/>
      <c r="H409" s="74"/>
      <c r="I409" s="74"/>
    </row>
    <row r="410">
      <c r="A410" s="77">
        <v>15.0</v>
      </c>
      <c r="B410" s="74" t="s">
        <v>1259</v>
      </c>
      <c r="C410" s="74" t="s">
        <v>1260</v>
      </c>
      <c r="D410" s="74" t="s">
        <v>1261</v>
      </c>
      <c r="E410" s="76" t="s">
        <v>1262</v>
      </c>
      <c r="F410" s="75" t="s">
        <v>8</v>
      </c>
      <c r="G410" s="74"/>
      <c r="H410" s="76" t="s">
        <v>242</v>
      </c>
      <c r="I410" s="74"/>
    </row>
    <row r="411">
      <c r="A411" s="77">
        <v>16.0</v>
      </c>
      <c r="B411" s="74" t="s">
        <v>1263</v>
      </c>
      <c r="C411" s="74" t="s">
        <v>1264</v>
      </c>
      <c r="D411" s="74" t="s">
        <v>1265</v>
      </c>
      <c r="E411" s="74"/>
      <c r="F411" s="72" t="s">
        <v>8</v>
      </c>
      <c r="G411" s="74"/>
      <c r="H411" s="74"/>
      <c r="I411" s="74"/>
    </row>
    <row r="412">
      <c r="A412" s="77">
        <v>17.0</v>
      </c>
      <c r="B412" s="74" t="s">
        <v>1266</v>
      </c>
      <c r="C412" s="74" t="s">
        <v>731</v>
      </c>
      <c r="D412" s="74" t="s">
        <v>684</v>
      </c>
      <c r="E412" s="74"/>
      <c r="F412" s="72" t="s">
        <v>8</v>
      </c>
      <c r="G412" s="74"/>
      <c r="H412" s="74"/>
      <c r="I412" s="74"/>
    </row>
    <row r="413">
      <c r="A413" s="77">
        <v>18.0</v>
      </c>
      <c r="B413" s="78" t="s">
        <v>570</v>
      </c>
      <c r="C413" s="78" t="s">
        <v>1267</v>
      </c>
      <c r="D413" s="78" t="s">
        <v>572</v>
      </c>
      <c r="E413" s="78"/>
      <c r="F413" s="72" t="s">
        <v>8</v>
      </c>
      <c r="G413" s="78"/>
      <c r="H413" s="78"/>
      <c r="I413" s="78"/>
    </row>
    <row r="414">
      <c r="A414" s="66" t="s">
        <v>64</v>
      </c>
      <c r="B414" s="67"/>
      <c r="C414" s="79"/>
      <c r="D414" s="79"/>
      <c r="E414" s="79"/>
      <c r="F414" s="79"/>
      <c r="G414" s="80"/>
      <c r="H414" s="80"/>
      <c r="I414" s="80"/>
    </row>
    <row r="415">
      <c r="A415" s="77">
        <v>1.0</v>
      </c>
      <c r="B415" s="74" t="s">
        <v>1268</v>
      </c>
      <c r="C415" s="74" t="s">
        <v>1269</v>
      </c>
      <c r="D415" s="74" t="s">
        <v>1270</v>
      </c>
      <c r="E415" s="74"/>
      <c r="F415" s="72" t="s">
        <v>8</v>
      </c>
      <c r="G415" s="74"/>
      <c r="H415" s="74"/>
      <c r="I415" s="74"/>
    </row>
    <row r="416">
      <c r="A416" s="77">
        <v>2.0</v>
      </c>
      <c r="B416" s="74" t="s">
        <v>1271</v>
      </c>
      <c r="C416" s="74" t="s">
        <v>1272</v>
      </c>
      <c r="D416" s="74" t="s">
        <v>1273</v>
      </c>
      <c r="E416" s="74"/>
      <c r="F416" s="72" t="s">
        <v>8</v>
      </c>
      <c r="G416" s="74"/>
      <c r="H416" s="74"/>
      <c r="I416" s="74"/>
    </row>
    <row r="417">
      <c r="A417" s="77">
        <v>3.0</v>
      </c>
      <c r="B417" s="74" t="s">
        <v>1274</v>
      </c>
      <c r="C417" s="74" t="s">
        <v>1275</v>
      </c>
      <c r="D417" s="74" t="s">
        <v>374</v>
      </c>
      <c r="E417" s="74"/>
      <c r="F417" s="72" t="s">
        <v>8</v>
      </c>
      <c r="G417" s="74"/>
      <c r="H417" s="74"/>
      <c r="I417" s="74"/>
    </row>
    <row r="418">
      <c r="A418" s="77">
        <v>4.0</v>
      </c>
      <c r="B418" s="74" t="s">
        <v>1073</v>
      </c>
      <c r="C418" s="74" t="s">
        <v>1074</v>
      </c>
      <c r="D418" s="74" t="s">
        <v>374</v>
      </c>
      <c r="E418" s="74"/>
      <c r="F418" s="72" t="s">
        <v>8</v>
      </c>
      <c r="G418" s="74"/>
      <c r="H418" s="74"/>
      <c r="I418" s="74"/>
    </row>
    <row r="419">
      <c r="A419" s="77">
        <v>5.0</v>
      </c>
      <c r="B419" s="74" t="s">
        <v>1276</v>
      </c>
      <c r="C419" s="74" t="s">
        <v>1277</v>
      </c>
      <c r="D419" s="74" t="s">
        <v>1010</v>
      </c>
      <c r="E419" s="74"/>
      <c r="F419" s="72" t="s">
        <v>8</v>
      </c>
      <c r="G419" s="74"/>
      <c r="H419" s="74"/>
      <c r="I419" s="74"/>
    </row>
    <row r="420">
      <c r="A420" s="77">
        <v>6.0</v>
      </c>
      <c r="B420" s="74" t="s">
        <v>1278</v>
      </c>
      <c r="C420" s="74" t="s">
        <v>1279</v>
      </c>
      <c r="D420" s="74" t="s">
        <v>1280</v>
      </c>
      <c r="E420" s="74"/>
      <c r="F420" s="72" t="s">
        <v>8</v>
      </c>
      <c r="G420" s="74"/>
      <c r="H420" s="74"/>
      <c r="I420" s="74"/>
    </row>
    <row r="421">
      <c r="A421" s="77">
        <v>7.0</v>
      </c>
      <c r="B421" s="74" t="s">
        <v>1281</v>
      </c>
      <c r="C421" s="74" t="s">
        <v>1282</v>
      </c>
      <c r="D421" s="74" t="s">
        <v>1283</v>
      </c>
      <c r="E421" s="74"/>
      <c r="F421" s="72" t="s">
        <v>8</v>
      </c>
      <c r="G421" s="74"/>
      <c r="H421" s="74"/>
      <c r="I421" s="74"/>
    </row>
    <row r="422">
      <c r="A422" s="77">
        <v>8.0</v>
      </c>
      <c r="B422" s="74" t="s">
        <v>1284</v>
      </c>
      <c r="C422" s="74" t="s">
        <v>1251</v>
      </c>
      <c r="D422" s="74" t="s">
        <v>1252</v>
      </c>
      <c r="E422" s="74"/>
      <c r="F422" s="72" t="s">
        <v>8</v>
      </c>
      <c r="G422" s="74"/>
      <c r="H422" s="74"/>
      <c r="I422" s="74"/>
    </row>
    <row r="423">
      <c r="A423" s="77">
        <v>9.0</v>
      </c>
      <c r="B423" s="74" t="s">
        <v>1285</v>
      </c>
      <c r="C423" s="74" t="s">
        <v>1286</v>
      </c>
      <c r="D423" s="74" t="s">
        <v>1287</v>
      </c>
      <c r="E423" s="74"/>
      <c r="F423" s="72" t="s">
        <v>8</v>
      </c>
      <c r="G423" s="74"/>
      <c r="H423" s="74"/>
      <c r="I423" s="74"/>
    </row>
    <row r="424">
      <c r="A424" s="77">
        <v>10.0</v>
      </c>
      <c r="B424" s="74" t="s">
        <v>1288</v>
      </c>
      <c r="C424" s="74" t="s">
        <v>1289</v>
      </c>
      <c r="D424" s="74" t="s">
        <v>1290</v>
      </c>
      <c r="E424" s="74"/>
      <c r="F424" s="72" t="s">
        <v>8</v>
      </c>
      <c r="G424" s="74"/>
      <c r="H424" s="74"/>
      <c r="I424" s="74"/>
    </row>
    <row r="425">
      <c r="A425" s="77">
        <v>11.0</v>
      </c>
      <c r="B425" s="74" t="s">
        <v>1291</v>
      </c>
      <c r="C425" s="74" t="s">
        <v>1292</v>
      </c>
      <c r="D425" s="74" t="s">
        <v>1261</v>
      </c>
      <c r="E425" s="76" t="s">
        <v>1293</v>
      </c>
      <c r="F425" s="75" t="s">
        <v>8</v>
      </c>
      <c r="G425" s="74"/>
      <c r="H425" s="76" t="s">
        <v>242</v>
      </c>
      <c r="I425" s="74"/>
    </row>
    <row r="426">
      <c r="A426" s="77">
        <v>12.0</v>
      </c>
      <c r="B426" s="74" t="s">
        <v>1294</v>
      </c>
      <c r="C426" s="74" t="s">
        <v>1133</v>
      </c>
      <c r="D426" s="74" t="s">
        <v>1295</v>
      </c>
      <c r="E426" s="74"/>
      <c r="F426" s="72" t="s">
        <v>8</v>
      </c>
      <c r="G426" s="74"/>
      <c r="H426" s="74"/>
      <c r="I426" s="74"/>
    </row>
    <row r="427">
      <c r="A427" s="77">
        <v>13.0</v>
      </c>
      <c r="B427" s="74" t="s">
        <v>1296</v>
      </c>
      <c r="C427" s="74" t="s">
        <v>731</v>
      </c>
      <c r="D427" s="74" t="s">
        <v>828</v>
      </c>
      <c r="E427" s="74"/>
      <c r="F427" s="72" t="s">
        <v>8</v>
      </c>
      <c r="G427" s="74"/>
      <c r="H427" s="74"/>
      <c r="I427" s="74"/>
    </row>
    <row r="428">
      <c r="A428" s="77">
        <v>14.0</v>
      </c>
      <c r="B428" s="78" t="s">
        <v>570</v>
      </c>
      <c r="C428" s="78" t="s">
        <v>1297</v>
      </c>
      <c r="D428" s="78" t="s">
        <v>572</v>
      </c>
      <c r="E428" s="78"/>
      <c r="F428" s="72" t="s">
        <v>8</v>
      </c>
      <c r="G428" s="78"/>
      <c r="H428" s="78"/>
      <c r="I428" s="78"/>
    </row>
    <row r="429">
      <c r="A429" s="66" t="s">
        <v>65</v>
      </c>
      <c r="B429" s="67"/>
      <c r="C429" s="79"/>
      <c r="D429" s="79"/>
      <c r="E429" s="79"/>
      <c r="F429" s="79"/>
      <c r="G429" s="80"/>
      <c r="H429" s="80"/>
      <c r="I429" s="80"/>
    </row>
    <row r="430">
      <c r="A430" s="77">
        <v>1.0</v>
      </c>
      <c r="B430" s="74" t="s">
        <v>1298</v>
      </c>
      <c r="C430" s="74" t="s">
        <v>1299</v>
      </c>
      <c r="D430" s="74" t="s">
        <v>1300</v>
      </c>
      <c r="E430" s="74"/>
      <c r="F430" s="72" t="s">
        <v>8</v>
      </c>
      <c r="G430" s="74"/>
      <c r="H430" s="74"/>
      <c r="I430" s="74"/>
    </row>
    <row r="431">
      <c r="A431" s="77">
        <v>2.0</v>
      </c>
      <c r="B431" s="74" t="s">
        <v>1301</v>
      </c>
      <c r="C431" s="74" t="s">
        <v>1302</v>
      </c>
      <c r="D431" s="74" t="s">
        <v>1303</v>
      </c>
      <c r="E431" s="74"/>
      <c r="F431" s="72" t="s">
        <v>8</v>
      </c>
      <c r="G431" s="74"/>
      <c r="H431" s="74"/>
      <c r="I431" s="74"/>
    </row>
    <row r="432">
      <c r="A432" s="77">
        <v>3.0</v>
      </c>
      <c r="B432" s="74" t="s">
        <v>1304</v>
      </c>
      <c r="C432" s="74" t="s">
        <v>1305</v>
      </c>
      <c r="D432" s="74" t="s">
        <v>374</v>
      </c>
      <c r="E432" s="74"/>
      <c r="F432" s="72" t="s">
        <v>8</v>
      </c>
      <c r="G432" s="74"/>
      <c r="H432" s="74"/>
      <c r="I432" s="74"/>
    </row>
    <row r="433">
      <c r="A433" s="77">
        <v>4.0</v>
      </c>
      <c r="B433" s="74" t="s">
        <v>1306</v>
      </c>
      <c r="C433" s="74" t="s">
        <v>1307</v>
      </c>
      <c r="D433" s="74" t="s">
        <v>1308</v>
      </c>
      <c r="E433" s="74"/>
      <c r="F433" s="72" t="s">
        <v>8</v>
      </c>
      <c r="G433" s="74"/>
      <c r="H433" s="74"/>
      <c r="I433" s="74"/>
    </row>
    <row r="434">
      <c r="A434" s="77">
        <v>5.0</v>
      </c>
      <c r="B434" s="74" t="s">
        <v>1309</v>
      </c>
      <c r="C434" s="74" t="s">
        <v>1015</v>
      </c>
      <c r="D434" s="74" t="s">
        <v>1283</v>
      </c>
      <c r="E434" s="74"/>
      <c r="F434" s="72" t="s">
        <v>8</v>
      </c>
      <c r="G434" s="74"/>
      <c r="H434" s="74"/>
      <c r="I434" s="74"/>
    </row>
    <row r="435">
      <c r="A435" s="77">
        <v>6.0</v>
      </c>
      <c r="B435" s="74" t="s">
        <v>1310</v>
      </c>
      <c r="C435" s="74" t="s">
        <v>1251</v>
      </c>
      <c r="D435" s="74" t="s">
        <v>1252</v>
      </c>
      <c r="E435" s="74"/>
      <c r="F435" s="72" t="s">
        <v>8</v>
      </c>
      <c r="G435" s="74"/>
      <c r="H435" s="74"/>
      <c r="I435" s="74"/>
    </row>
    <row r="436">
      <c r="A436" s="77">
        <v>7.0</v>
      </c>
      <c r="B436" s="74" t="s">
        <v>1311</v>
      </c>
      <c r="C436" s="74" t="s">
        <v>1312</v>
      </c>
      <c r="D436" s="74" t="s">
        <v>1313</v>
      </c>
      <c r="E436" s="74"/>
      <c r="F436" s="72" t="s">
        <v>8</v>
      </c>
      <c r="G436" s="74"/>
      <c r="H436" s="74"/>
      <c r="I436" s="74"/>
    </row>
    <row r="437">
      <c r="A437" s="77">
        <v>8.0</v>
      </c>
      <c r="B437" s="74" t="s">
        <v>1314</v>
      </c>
      <c r="C437" s="74" t="s">
        <v>1315</v>
      </c>
      <c r="D437" s="74" t="s">
        <v>1316</v>
      </c>
      <c r="E437" s="74"/>
      <c r="F437" s="72" t="s">
        <v>8</v>
      </c>
      <c r="G437" s="74"/>
      <c r="H437" s="74"/>
      <c r="I437" s="74"/>
    </row>
    <row r="438">
      <c r="A438" s="77">
        <v>9.0</v>
      </c>
      <c r="B438" s="74" t="s">
        <v>1317</v>
      </c>
      <c r="C438" s="74" t="s">
        <v>1318</v>
      </c>
      <c r="D438" s="74" t="s">
        <v>1261</v>
      </c>
      <c r="E438" s="76" t="s">
        <v>1319</v>
      </c>
      <c r="F438" s="75" t="s">
        <v>8</v>
      </c>
      <c r="G438" s="74"/>
      <c r="H438" s="76" t="s">
        <v>242</v>
      </c>
      <c r="I438" s="74"/>
    </row>
    <row r="439">
      <c r="A439" s="77">
        <v>10.0</v>
      </c>
      <c r="B439" s="74" t="s">
        <v>1320</v>
      </c>
      <c r="C439" s="74" t="s">
        <v>1321</v>
      </c>
      <c r="D439" s="74" t="s">
        <v>1322</v>
      </c>
      <c r="E439" s="74"/>
      <c r="F439" s="72" t="s">
        <v>8</v>
      </c>
      <c r="G439" s="74"/>
      <c r="H439" s="74"/>
      <c r="I439" s="74"/>
    </row>
    <row r="440">
      <c r="A440" s="77">
        <v>11.0</v>
      </c>
      <c r="B440" s="74" t="s">
        <v>1323</v>
      </c>
      <c r="C440" s="74" t="s">
        <v>731</v>
      </c>
      <c r="D440" s="74" t="s">
        <v>828</v>
      </c>
      <c r="E440" s="74"/>
      <c r="F440" s="72" t="s">
        <v>8</v>
      </c>
      <c r="G440" s="74"/>
      <c r="H440" s="74"/>
      <c r="I440" s="74"/>
    </row>
    <row r="441">
      <c r="A441" s="77">
        <v>12.0</v>
      </c>
      <c r="B441" s="78" t="s">
        <v>570</v>
      </c>
      <c r="C441" s="78" t="s">
        <v>1324</v>
      </c>
      <c r="D441" s="78" t="s">
        <v>572</v>
      </c>
      <c r="E441" s="78"/>
      <c r="F441" s="72" t="s">
        <v>8</v>
      </c>
      <c r="G441" s="78"/>
      <c r="H441" s="78"/>
      <c r="I441" s="78"/>
    </row>
    <row r="442">
      <c r="A442" s="66" t="s">
        <v>66</v>
      </c>
      <c r="B442" s="67"/>
      <c r="C442" s="79"/>
      <c r="D442" s="79"/>
      <c r="E442" s="79"/>
      <c r="F442" s="79"/>
      <c r="G442" s="80"/>
      <c r="H442" s="80"/>
      <c r="I442" s="80"/>
    </row>
    <row r="443">
      <c r="A443" s="77">
        <v>1.0</v>
      </c>
      <c r="B443" s="74" t="s">
        <v>1325</v>
      </c>
      <c r="C443" s="74" t="s">
        <v>1326</v>
      </c>
      <c r="D443" s="74" t="s">
        <v>1327</v>
      </c>
      <c r="E443" s="74"/>
      <c r="F443" s="72" t="s">
        <v>8</v>
      </c>
      <c r="G443" s="74"/>
      <c r="H443" s="74"/>
      <c r="I443" s="74"/>
    </row>
    <row r="444">
      <c r="A444" s="77">
        <v>2.0</v>
      </c>
      <c r="B444" s="74" t="s">
        <v>1328</v>
      </c>
      <c r="C444" s="74" t="s">
        <v>1329</v>
      </c>
      <c r="D444" s="74" t="s">
        <v>1330</v>
      </c>
      <c r="E444" s="74"/>
      <c r="F444" s="72" t="s">
        <v>8</v>
      </c>
      <c r="G444" s="74"/>
      <c r="H444" s="74"/>
      <c r="I444" s="74"/>
    </row>
    <row r="445">
      <c r="A445" s="77">
        <v>3.0</v>
      </c>
      <c r="B445" s="74" t="s">
        <v>1331</v>
      </c>
      <c r="C445" s="74" t="s">
        <v>1332</v>
      </c>
      <c r="D445" s="74" t="s">
        <v>1333</v>
      </c>
      <c r="E445" s="74"/>
      <c r="F445" s="72" t="s">
        <v>8</v>
      </c>
      <c r="G445" s="74"/>
      <c r="H445" s="74"/>
      <c r="I445" s="74"/>
    </row>
    <row r="446">
      <c r="A446" s="77">
        <v>4.0</v>
      </c>
      <c r="B446" s="74" t="s">
        <v>1334</v>
      </c>
      <c r="C446" s="74" t="s">
        <v>1335</v>
      </c>
      <c r="D446" s="74" t="s">
        <v>374</v>
      </c>
      <c r="E446" s="74"/>
      <c r="F446" s="72" t="s">
        <v>8</v>
      </c>
      <c r="G446" s="74"/>
      <c r="H446" s="74"/>
      <c r="I446" s="74"/>
    </row>
    <row r="447">
      <c r="A447" s="77">
        <v>5.0</v>
      </c>
      <c r="B447" s="74" t="s">
        <v>1336</v>
      </c>
      <c r="C447" s="74" t="s">
        <v>1337</v>
      </c>
      <c r="D447" s="74" t="s">
        <v>374</v>
      </c>
      <c r="E447" s="74"/>
      <c r="F447" s="72" t="s">
        <v>8</v>
      </c>
      <c r="G447" s="74"/>
      <c r="H447" s="74"/>
      <c r="I447" s="74"/>
    </row>
    <row r="448">
      <c r="A448" s="77">
        <v>6.0</v>
      </c>
      <c r="B448" s="74" t="s">
        <v>1338</v>
      </c>
      <c r="C448" s="74" t="s">
        <v>1339</v>
      </c>
      <c r="D448" s="74" t="s">
        <v>1340</v>
      </c>
      <c r="E448" s="74"/>
      <c r="F448" s="72" t="s">
        <v>8</v>
      </c>
      <c r="G448" s="74"/>
      <c r="H448" s="74"/>
      <c r="I448" s="74"/>
    </row>
    <row r="449">
      <c r="A449" s="77">
        <v>7.0</v>
      </c>
      <c r="B449" s="74" t="s">
        <v>1341</v>
      </c>
      <c r="C449" s="74" t="s">
        <v>1342</v>
      </c>
      <c r="D449" s="74" t="s">
        <v>374</v>
      </c>
      <c r="E449" s="74"/>
      <c r="F449" s="72" t="s">
        <v>8</v>
      </c>
      <c r="G449" s="74"/>
      <c r="H449" s="74"/>
      <c r="I449" s="74"/>
    </row>
    <row r="450">
      <c r="A450" s="77">
        <v>8.0</v>
      </c>
      <c r="B450" s="74" t="s">
        <v>1343</v>
      </c>
      <c r="C450" s="74" t="s">
        <v>1344</v>
      </c>
      <c r="D450" s="74" t="s">
        <v>374</v>
      </c>
      <c r="E450" s="74"/>
      <c r="F450" s="72" t="s">
        <v>8</v>
      </c>
      <c r="G450" s="74"/>
      <c r="H450" s="74"/>
      <c r="I450" s="74"/>
    </row>
    <row r="451">
      <c r="A451" s="77">
        <v>9.0</v>
      </c>
      <c r="B451" s="74" t="s">
        <v>1345</v>
      </c>
      <c r="C451" s="74" t="s">
        <v>1346</v>
      </c>
      <c r="D451" s="74" t="s">
        <v>374</v>
      </c>
      <c r="E451" s="74"/>
      <c r="F451" s="72" t="s">
        <v>8</v>
      </c>
      <c r="G451" s="74"/>
      <c r="H451" s="74"/>
      <c r="I451" s="74"/>
    </row>
    <row r="452">
      <c r="A452" s="77">
        <v>10.0</v>
      </c>
      <c r="B452" s="74" t="s">
        <v>1347</v>
      </c>
      <c r="C452" s="74" t="s">
        <v>1348</v>
      </c>
      <c r="D452" s="74" t="s">
        <v>374</v>
      </c>
      <c r="E452" s="74"/>
      <c r="F452" s="72" t="s">
        <v>8</v>
      </c>
      <c r="G452" s="74"/>
      <c r="H452" s="74"/>
      <c r="I452" s="74"/>
    </row>
    <row r="453">
      <c r="A453" s="77">
        <v>11.0</v>
      </c>
      <c r="B453" s="74" t="s">
        <v>1349</v>
      </c>
      <c r="C453" s="74" t="s">
        <v>1350</v>
      </c>
      <c r="D453" s="74" t="s">
        <v>850</v>
      </c>
      <c r="E453" s="74"/>
      <c r="F453" s="72" t="s">
        <v>8</v>
      </c>
      <c r="G453" s="74"/>
      <c r="H453" s="74"/>
      <c r="I453" s="74"/>
    </row>
    <row r="454">
      <c r="A454" s="77">
        <v>12.0</v>
      </c>
      <c r="B454" s="74" t="s">
        <v>1351</v>
      </c>
      <c r="C454" s="74" t="s">
        <v>1352</v>
      </c>
      <c r="D454" s="74" t="s">
        <v>1353</v>
      </c>
      <c r="E454" s="74"/>
      <c r="F454" s="72" t="s">
        <v>8</v>
      </c>
      <c r="G454" s="74"/>
      <c r="H454" s="74"/>
      <c r="I454" s="74"/>
    </row>
    <row r="455">
      <c r="A455" s="77">
        <v>13.0</v>
      </c>
      <c r="B455" s="74" t="s">
        <v>1354</v>
      </c>
      <c r="C455" s="74" t="s">
        <v>1355</v>
      </c>
      <c r="D455" s="74" t="s">
        <v>1356</v>
      </c>
      <c r="E455" s="74"/>
      <c r="F455" s="72" t="s">
        <v>8</v>
      </c>
      <c r="G455" s="74"/>
      <c r="H455" s="74"/>
      <c r="I455" s="74"/>
    </row>
    <row r="456">
      <c r="A456" s="77">
        <v>14.0</v>
      </c>
      <c r="B456" s="74" t="s">
        <v>1357</v>
      </c>
      <c r="C456" s="74" t="s">
        <v>1358</v>
      </c>
      <c r="D456" s="74" t="s">
        <v>1356</v>
      </c>
      <c r="E456" s="74"/>
      <c r="F456" s="72" t="s">
        <v>8</v>
      </c>
      <c r="G456" s="74"/>
      <c r="H456" s="74"/>
      <c r="I456" s="74"/>
    </row>
    <row r="457">
      <c r="A457" s="77">
        <v>15.0</v>
      </c>
      <c r="B457" s="74" t="s">
        <v>1359</v>
      </c>
      <c r="C457" s="74" t="s">
        <v>1360</v>
      </c>
      <c r="D457" s="74" t="s">
        <v>1361</v>
      </c>
      <c r="E457" s="74"/>
      <c r="F457" s="72" t="s">
        <v>8</v>
      </c>
      <c r="G457" s="74"/>
      <c r="H457" s="74"/>
      <c r="I457" s="74"/>
    </row>
    <row r="458">
      <c r="A458" s="77">
        <v>16.0</v>
      </c>
      <c r="B458" s="74" t="s">
        <v>1362</v>
      </c>
      <c r="C458" s="74" t="s">
        <v>1363</v>
      </c>
      <c r="D458" s="74" t="s">
        <v>1364</v>
      </c>
      <c r="E458" s="74"/>
      <c r="F458" s="72" t="s">
        <v>8</v>
      </c>
      <c r="G458" s="74"/>
      <c r="H458" s="74"/>
      <c r="I458" s="74"/>
    </row>
    <row r="459">
      <c r="A459" s="77">
        <v>17.0</v>
      </c>
      <c r="B459" s="74" t="s">
        <v>1365</v>
      </c>
      <c r="C459" s="74" t="s">
        <v>1366</v>
      </c>
      <c r="D459" s="74" t="s">
        <v>1367</v>
      </c>
      <c r="E459" s="74"/>
      <c r="F459" s="72" t="s">
        <v>8</v>
      </c>
      <c r="G459" s="74"/>
      <c r="H459" s="74"/>
      <c r="I459" s="74"/>
    </row>
    <row r="460">
      <c r="A460" s="77">
        <v>18.0</v>
      </c>
      <c r="B460" s="74" t="s">
        <v>1368</v>
      </c>
      <c r="C460" s="74" t="s">
        <v>1369</v>
      </c>
      <c r="D460" s="74" t="s">
        <v>1370</v>
      </c>
      <c r="E460" s="74"/>
      <c r="F460" s="72" t="s">
        <v>8</v>
      </c>
      <c r="G460" s="74"/>
      <c r="H460" s="74"/>
      <c r="I460" s="74"/>
    </row>
    <row r="461">
      <c r="A461" s="77">
        <v>19.0</v>
      </c>
      <c r="B461" s="74" t="s">
        <v>1371</v>
      </c>
      <c r="C461" s="74" t="s">
        <v>1372</v>
      </c>
      <c r="D461" s="74" t="s">
        <v>1373</v>
      </c>
      <c r="E461" s="74"/>
      <c r="F461" s="72" t="s">
        <v>8</v>
      </c>
      <c r="G461" s="74"/>
      <c r="H461" s="74"/>
      <c r="I461" s="74"/>
    </row>
    <row r="462">
      <c r="A462" s="77">
        <v>20.0</v>
      </c>
      <c r="B462" s="74" t="s">
        <v>1374</v>
      </c>
      <c r="C462" s="74" t="s">
        <v>1375</v>
      </c>
      <c r="D462" s="74" t="s">
        <v>1376</v>
      </c>
      <c r="E462" s="74"/>
      <c r="F462" s="72" t="s">
        <v>8</v>
      </c>
      <c r="G462" s="74"/>
      <c r="H462" s="74"/>
      <c r="I462" s="74"/>
    </row>
    <row r="463">
      <c r="A463" s="77">
        <v>21.0</v>
      </c>
      <c r="B463" s="74" t="s">
        <v>1377</v>
      </c>
      <c r="C463" s="74" t="s">
        <v>1378</v>
      </c>
      <c r="D463" s="74" t="s">
        <v>1124</v>
      </c>
      <c r="E463" s="74"/>
      <c r="F463" s="72" t="s">
        <v>8</v>
      </c>
      <c r="G463" s="74"/>
      <c r="H463" s="74"/>
      <c r="I463" s="74"/>
    </row>
    <row r="464">
      <c r="A464" s="77">
        <v>22.0</v>
      </c>
      <c r="B464" s="74" t="s">
        <v>1379</v>
      </c>
      <c r="C464" s="74" t="s">
        <v>1380</v>
      </c>
      <c r="D464" s="74" t="s">
        <v>374</v>
      </c>
      <c r="E464" s="74"/>
      <c r="F464" s="72" t="s">
        <v>8</v>
      </c>
      <c r="G464" s="74"/>
      <c r="H464" s="74"/>
      <c r="I464" s="74"/>
    </row>
    <row r="465">
      <c r="A465" s="77">
        <v>23.0</v>
      </c>
      <c r="B465" s="74" t="s">
        <v>1381</v>
      </c>
      <c r="C465" s="74" t="s">
        <v>1115</v>
      </c>
      <c r="D465" s="74" t="s">
        <v>1252</v>
      </c>
      <c r="E465" s="74"/>
      <c r="F465" s="72" t="s">
        <v>8</v>
      </c>
      <c r="G465" s="74"/>
      <c r="H465" s="74"/>
      <c r="I465" s="74"/>
    </row>
    <row r="466">
      <c r="A466" s="77">
        <v>24.0</v>
      </c>
      <c r="B466" s="74" t="s">
        <v>1382</v>
      </c>
      <c r="C466" s="74" t="s">
        <v>1383</v>
      </c>
      <c r="D466" s="74" t="s">
        <v>911</v>
      </c>
      <c r="E466" s="74"/>
      <c r="F466" s="72" t="s">
        <v>8</v>
      </c>
      <c r="G466" s="74"/>
      <c r="H466" s="74"/>
      <c r="I466" s="74"/>
    </row>
    <row r="467">
      <c r="A467" s="77">
        <v>25.0</v>
      </c>
      <c r="B467" s="74" t="s">
        <v>1384</v>
      </c>
      <c r="C467" s="74" t="s">
        <v>1385</v>
      </c>
      <c r="D467" s="74" t="s">
        <v>1386</v>
      </c>
      <c r="E467" s="74"/>
      <c r="F467" s="75" t="s">
        <v>8</v>
      </c>
      <c r="G467" s="74"/>
      <c r="H467" s="74"/>
      <c r="I467" s="74"/>
    </row>
    <row r="468">
      <c r="A468" s="77">
        <v>26.0</v>
      </c>
      <c r="B468" s="74" t="s">
        <v>1387</v>
      </c>
      <c r="C468" s="74" t="s">
        <v>1388</v>
      </c>
      <c r="D468" s="74" t="s">
        <v>1261</v>
      </c>
      <c r="E468" s="76" t="s">
        <v>1389</v>
      </c>
      <c r="F468" s="75" t="s">
        <v>8</v>
      </c>
      <c r="G468" s="74"/>
      <c r="H468" s="76" t="s">
        <v>242</v>
      </c>
      <c r="I468" s="74"/>
    </row>
    <row r="469">
      <c r="A469" s="77">
        <v>27.0</v>
      </c>
      <c r="B469" s="74" t="s">
        <v>1390</v>
      </c>
      <c r="C469" s="74" t="s">
        <v>1391</v>
      </c>
      <c r="D469" s="74" t="s">
        <v>1392</v>
      </c>
      <c r="E469" s="74"/>
      <c r="F469" s="72" t="s">
        <v>8</v>
      </c>
      <c r="G469" s="74"/>
      <c r="H469" s="74"/>
      <c r="I469" s="74"/>
    </row>
    <row r="470">
      <c r="A470" s="77">
        <v>28.0</v>
      </c>
      <c r="B470" s="74" t="s">
        <v>1393</v>
      </c>
      <c r="C470" s="74" t="s">
        <v>1394</v>
      </c>
      <c r="D470" s="74" t="s">
        <v>1395</v>
      </c>
      <c r="E470" s="74"/>
      <c r="F470" s="72" t="s">
        <v>8</v>
      </c>
      <c r="G470" s="74"/>
      <c r="H470" s="74"/>
      <c r="I470" s="74"/>
    </row>
    <row r="471">
      <c r="A471" s="77">
        <v>29.0</v>
      </c>
      <c r="B471" s="74" t="s">
        <v>1396</v>
      </c>
      <c r="C471" s="74" t="s">
        <v>559</v>
      </c>
      <c r="D471" s="74" t="s">
        <v>726</v>
      </c>
      <c r="E471" s="74"/>
      <c r="F471" s="72" t="s">
        <v>8</v>
      </c>
      <c r="G471" s="74"/>
      <c r="H471" s="74"/>
      <c r="I471" s="74"/>
    </row>
    <row r="472">
      <c r="A472" s="77">
        <v>30.0</v>
      </c>
      <c r="B472" s="74" t="s">
        <v>1397</v>
      </c>
      <c r="C472" s="74" t="s">
        <v>1398</v>
      </c>
      <c r="D472" s="74" t="s">
        <v>1399</v>
      </c>
      <c r="E472" s="74"/>
      <c r="F472" s="72" t="s">
        <v>8</v>
      </c>
      <c r="G472" s="74"/>
      <c r="H472" s="74"/>
      <c r="I472" s="74"/>
    </row>
    <row r="473">
      <c r="A473" s="77">
        <v>31.0</v>
      </c>
      <c r="B473" s="74" t="s">
        <v>1400</v>
      </c>
      <c r="C473" s="74" t="s">
        <v>1401</v>
      </c>
      <c r="D473" s="74" t="s">
        <v>1399</v>
      </c>
      <c r="E473" s="74"/>
      <c r="F473" s="72" t="s">
        <v>8</v>
      </c>
      <c r="G473" s="74"/>
      <c r="H473" s="74"/>
      <c r="I473" s="74"/>
    </row>
    <row r="474">
      <c r="A474" s="77">
        <v>32.0</v>
      </c>
      <c r="B474" s="74" t="s">
        <v>682</v>
      </c>
      <c r="C474" s="74" t="s">
        <v>731</v>
      </c>
      <c r="D474" s="74" t="s">
        <v>1399</v>
      </c>
      <c r="E474" s="74"/>
      <c r="F474" s="72" t="s">
        <v>8</v>
      </c>
      <c r="G474" s="74"/>
      <c r="H474" s="74"/>
      <c r="I474" s="74"/>
    </row>
    <row r="475">
      <c r="A475" s="77">
        <v>33.0</v>
      </c>
      <c r="B475" s="74" t="s">
        <v>735</v>
      </c>
      <c r="C475" s="74" t="s">
        <v>1190</v>
      </c>
      <c r="D475" s="74" t="s">
        <v>1399</v>
      </c>
      <c r="E475" s="74"/>
      <c r="F475" s="72" t="s">
        <v>8</v>
      </c>
      <c r="G475" s="74"/>
      <c r="H475" s="74"/>
      <c r="I475" s="74"/>
    </row>
    <row r="476">
      <c r="A476" s="77">
        <v>34.0</v>
      </c>
      <c r="B476" s="74" t="s">
        <v>1141</v>
      </c>
      <c r="C476" s="74" t="s">
        <v>1142</v>
      </c>
      <c r="D476" s="74" t="s">
        <v>1143</v>
      </c>
      <c r="E476" s="74"/>
      <c r="F476" s="72" t="s">
        <v>8</v>
      </c>
      <c r="G476" s="74"/>
      <c r="H476" s="74"/>
      <c r="I476" s="74"/>
    </row>
    <row r="477">
      <c r="A477" s="77">
        <v>35.0</v>
      </c>
      <c r="B477" s="74" t="s">
        <v>564</v>
      </c>
      <c r="C477" s="74" t="s">
        <v>565</v>
      </c>
      <c r="D477" s="74" t="s">
        <v>566</v>
      </c>
      <c r="E477" s="74"/>
      <c r="F477" s="72" t="s">
        <v>8</v>
      </c>
      <c r="G477" s="74"/>
      <c r="H477" s="74"/>
      <c r="I477" s="74"/>
    </row>
    <row r="478">
      <c r="A478" s="77">
        <v>36.0</v>
      </c>
      <c r="B478" s="74" t="s">
        <v>1191</v>
      </c>
      <c r="C478" s="74" t="s">
        <v>1144</v>
      </c>
      <c r="D478" s="74" t="s">
        <v>1402</v>
      </c>
      <c r="E478" s="74"/>
      <c r="F478" s="72" t="s">
        <v>8</v>
      </c>
      <c r="G478" s="74"/>
      <c r="H478" s="74"/>
      <c r="I478" s="74"/>
    </row>
    <row r="479">
      <c r="A479" s="77">
        <v>37.0</v>
      </c>
      <c r="B479" s="74" t="s">
        <v>1146</v>
      </c>
      <c r="C479" s="74" t="s">
        <v>1147</v>
      </c>
      <c r="D479" s="74" t="s">
        <v>1148</v>
      </c>
      <c r="E479" s="74"/>
      <c r="F479" s="72" t="s">
        <v>8</v>
      </c>
      <c r="G479" s="74"/>
      <c r="H479" s="74"/>
      <c r="I479" s="74"/>
    </row>
    <row r="480">
      <c r="A480" s="77">
        <v>38.0</v>
      </c>
      <c r="B480" s="74" t="s">
        <v>1403</v>
      </c>
      <c r="C480" s="74" t="s">
        <v>1404</v>
      </c>
      <c r="D480" s="74" t="s">
        <v>1405</v>
      </c>
      <c r="E480" s="74"/>
      <c r="F480" s="72" t="s">
        <v>8</v>
      </c>
      <c r="G480" s="74"/>
      <c r="H480" s="74"/>
      <c r="I480" s="74"/>
    </row>
    <row r="481">
      <c r="A481" s="77">
        <v>39.0</v>
      </c>
      <c r="B481" s="78" t="s">
        <v>570</v>
      </c>
      <c r="C481" s="78" t="s">
        <v>1406</v>
      </c>
      <c r="D481" s="78" t="s">
        <v>572</v>
      </c>
      <c r="E481" s="78"/>
      <c r="F481" s="72" t="s">
        <v>8</v>
      </c>
      <c r="G481" s="78"/>
      <c r="H481" s="78"/>
      <c r="I481" s="74"/>
    </row>
    <row r="482">
      <c r="A482" s="77">
        <v>40.0</v>
      </c>
      <c r="B482" s="74" t="s">
        <v>1407</v>
      </c>
      <c r="C482" s="74" t="s">
        <v>1408</v>
      </c>
      <c r="D482" s="74" t="s">
        <v>1409</v>
      </c>
      <c r="E482" s="74"/>
      <c r="F482" s="72" t="s">
        <v>8</v>
      </c>
      <c r="G482" s="74"/>
      <c r="H482" s="74"/>
      <c r="I482" s="74"/>
    </row>
    <row r="483">
      <c r="A483" s="77">
        <v>41.0</v>
      </c>
      <c r="B483" s="74" t="s">
        <v>1410</v>
      </c>
      <c r="C483" s="74" t="s">
        <v>1408</v>
      </c>
      <c r="D483" s="74" t="s">
        <v>1411</v>
      </c>
      <c r="E483" s="74"/>
      <c r="F483" s="72" t="s">
        <v>8</v>
      </c>
      <c r="G483" s="74"/>
      <c r="H483" s="74"/>
      <c r="I483" s="74"/>
    </row>
    <row r="484">
      <c r="A484" s="77">
        <v>42.0</v>
      </c>
      <c r="B484" s="74" t="s">
        <v>1412</v>
      </c>
      <c r="C484" s="74" t="s">
        <v>1413</v>
      </c>
      <c r="D484" s="74" t="s">
        <v>1414</v>
      </c>
      <c r="E484" s="76" t="s">
        <v>1415</v>
      </c>
      <c r="F484" s="75" t="s">
        <v>8</v>
      </c>
      <c r="G484" s="74"/>
      <c r="H484" s="76" t="s">
        <v>1416</v>
      </c>
      <c r="I484" s="74"/>
    </row>
    <row r="485">
      <c r="A485" s="77">
        <v>43.0</v>
      </c>
      <c r="B485" s="74" t="s">
        <v>1417</v>
      </c>
      <c r="C485" s="76" t="s">
        <v>1418</v>
      </c>
      <c r="D485" s="76" t="s">
        <v>1419</v>
      </c>
      <c r="E485" s="74"/>
      <c r="F485" s="75" t="s">
        <v>8</v>
      </c>
      <c r="G485" s="74"/>
      <c r="H485" s="74"/>
      <c r="I485" s="74"/>
    </row>
    <row r="486">
      <c r="A486" s="77">
        <v>44.0</v>
      </c>
      <c r="B486" s="74" t="s">
        <v>1420</v>
      </c>
      <c r="C486" s="74" t="s">
        <v>1421</v>
      </c>
      <c r="D486" s="74" t="s">
        <v>1422</v>
      </c>
      <c r="E486" s="76"/>
      <c r="F486" s="75" t="s">
        <v>8</v>
      </c>
      <c r="G486" s="74"/>
      <c r="H486" s="74"/>
      <c r="I486" s="74"/>
    </row>
    <row r="487">
      <c r="A487" s="77">
        <v>45.0</v>
      </c>
      <c r="B487" s="74" t="s">
        <v>1423</v>
      </c>
      <c r="C487" s="74" t="s">
        <v>1424</v>
      </c>
      <c r="D487" s="74" t="s">
        <v>584</v>
      </c>
      <c r="E487" s="74"/>
      <c r="F487" s="75" t="s">
        <v>8</v>
      </c>
      <c r="G487" s="74"/>
      <c r="H487" s="74"/>
      <c r="I487" s="74"/>
    </row>
    <row r="488">
      <c r="A488" s="77">
        <v>46.0</v>
      </c>
      <c r="B488" s="74" t="s">
        <v>1425</v>
      </c>
      <c r="C488" s="74" t="s">
        <v>1426</v>
      </c>
      <c r="D488" s="74" t="s">
        <v>1427</v>
      </c>
      <c r="E488" s="76" t="s">
        <v>1428</v>
      </c>
      <c r="F488" s="75" t="s">
        <v>9</v>
      </c>
      <c r="G488" s="74"/>
      <c r="H488" s="74"/>
      <c r="I488" s="74"/>
    </row>
    <row r="489">
      <c r="A489" s="66" t="s">
        <v>67</v>
      </c>
      <c r="B489" s="91"/>
      <c r="C489" s="91"/>
      <c r="D489" s="67"/>
      <c r="E489" s="79"/>
      <c r="F489" s="79"/>
      <c r="G489" s="80"/>
      <c r="H489" s="80"/>
      <c r="I489" s="80"/>
    </row>
    <row r="490">
      <c r="A490" s="77">
        <v>1.0</v>
      </c>
      <c r="B490" s="74" t="s">
        <v>1429</v>
      </c>
      <c r="C490" s="74" t="s">
        <v>1430</v>
      </c>
      <c r="D490" s="74" t="s">
        <v>1431</v>
      </c>
      <c r="E490" s="74"/>
      <c r="F490" s="72" t="s">
        <v>8</v>
      </c>
      <c r="G490" s="74"/>
      <c r="H490" s="74"/>
      <c r="I490" s="74"/>
    </row>
    <row r="491">
      <c r="A491" s="77">
        <v>2.0</v>
      </c>
      <c r="B491" s="74" t="s">
        <v>1432</v>
      </c>
      <c r="C491" s="74" t="s">
        <v>1433</v>
      </c>
      <c r="D491" s="74" t="s">
        <v>1434</v>
      </c>
      <c r="E491" s="74"/>
      <c r="F491" s="72" t="s">
        <v>8</v>
      </c>
      <c r="G491" s="74"/>
      <c r="H491" s="74"/>
      <c r="I491" s="74"/>
    </row>
    <row r="492">
      <c r="A492" s="77">
        <v>3.0</v>
      </c>
      <c r="B492" s="74" t="s">
        <v>1435</v>
      </c>
      <c r="C492" s="74" t="s">
        <v>1007</v>
      </c>
      <c r="D492" s="74" t="s">
        <v>374</v>
      </c>
      <c r="E492" s="74"/>
      <c r="F492" s="72" t="s">
        <v>8</v>
      </c>
      <c r="G492" s="74"/>
      <c r="H492" s="74"/>
      <c r="I492" s="74"/>
    </row>
    <row r="493">
      <c r="A493" s="77">
        <v>4.0</v>
      </c>
      <c r="B493" s="74" t="s">
        <v>1436</v>
      </c>
      <c r="C493" s="74" t="s">
        <v>1437</v>
      </c>
      <c r="D493" s="74" t="s">
        <v>850</v>
      </c>
      <c r="E493" s="74"/>
      <c r="F493" s="72" t="s">
        <v>8</v>
      </c>
      <c r="G493" s="74"/>
      <c r="H493" s="74"/>
      <c r="I493" s="74"/>
    </row>
    <row r="494">
      <c r="A494" s="77">
        <v>5.0</v>
      </c>
      <c r="B494" s="74" t="s">
        <v>1438</v>
      </c>
      <c r="C494" s="74" t="s">
        <v>1439</v>
      </c>
      <c r="D494" s="74" t="s">
        <v>1440</v>
      </c>
      <c r="E494" s="74"/>
      <c r="F494" s="72" t="s">
        <v>8</v>
      </c>
      <c r="G494" s="74"/>
      <c r="H494" s="74"/>
      <c r="I494" s="74"/>
    </row>
    <row r="495">
      <c r="A495" s="77">
        <v>6.0</v>
      </c>
      <c r="B495" s="74" t="s">
        <v>1441</v>
      </c>
      <c r="C495" s="74" t="s">
        <v>1442</v>
      </c>
      <c r="D495" s="74" t="s">
        <v>1443</v>
      </c>
      <c r="E495" s="74"/>
      <c r="F495" s="72" t="s">
        <v>8</v>
      </c>
      <c r="G495" s="74"/>
      <c r="H495" s="74"/>
      <c r="I495" s="74"/>
    </row>
    <row r="496">
      <c r="A496" s="77">
        <v>7.0</v>
      </c>
      <c r="B496" s="74" t="s">
        <v>1444</v>
      </c>
      <c r="C496" s="74" t="s">
        <v>1445</v>
      </c>
      <c r="D496" s="74" t="s">
        <v>1446</v>
      </c>
      <c r="E496" s="74"/>
      <c r="F496" s="72" t="s">
        <v>8</v>
      </c>
      <c r="G496" s="74"/>
      <c r="H496" s="74"/>
      <c r="I496" s="74"/>
    </row>
    <row r="497">
      <c r="A497" s="77">
        <v>8.0</v>
      </c>
      <c r="B497" s="74" t="s">
        <v>1447</v>
      </c>
      <c r="C497" s="74" t="s">
        <v>1448</v>
      </c>
      <c r="D497" s="74" t="s">
        <v>374</v>
      </c>
      <c r="E497" s="74"/>
      <c r="F497" s="72" t="s">
        <v>8</v>
      </c>
      <c r="G497" s="74"/>
      <c r="H497" s="74"/>
      <c r="I497" s="74"/>
    </row>
    <row r="498">
      <c r="A498" s="77">
        <v>9.0</v>
      </c>
      <c r="B498" s="74" t="s">
        <v>1449</v>
      </c>
      <c r="C498" s="74" t="s">
        <v>1450</v>
      </c>
      <c r="D498" s="74" t="s">
        <v>374</v>
      </c>
      <c r="E498" s="74"/>
      <c r="F498" s="72" t="s">
        <v>8</v>
      </c>
      <c r="G498" s="74"/>
      <c r="H498" s="74"/>
      <c r="I498" s="74"/>
    </row>
    <row r="499">
      <c r="A499" s="77">
        <v>10.0</v>
      </c>
      <c r="B499" s="74" t="s">
        <v>1451</v>
      </c>
      <c r="C499" s="74" t="s">
        <v>1452</v>
      </c>
      <c r="D499" s="74" t="s">
        <v>1453</v>
      </c>
      <c r="E499" s="74"/>
      <c r="F499" s="72" t="s">
        <v>8</v>
      </c>
      <c r="G499" s="74"/>
      <c r="H499" s="74"/>
      <c r="I499" s="74"/>
    </row>
    <row r="500">
      <c r="A500" s="77">
        <v>11.0</v>
      </c>
      <c r="B500" s="74" t="s">
        <v>1454</v>
      </c>
      <c r="C500" s="74" t="s">
        <v>1455</v>
      </c>
      <c r="D500" s="74" t="s">
        <v>1453</v>
      </c>
      <c r="E500" s="74"/>
      <c r="F500" s="72" t="s">
        <v>8</v>
      </c>
      <c r="G500" s="74"/>
      <c r="H500" s="74"/>
      <c r="I500" s="74"/>
    </row>
    <row r="501">
      <c r="A501" s="77">
        <v>12.0</v>
      </c>
      <c r="B501" s="74" t="s">
        <v>1456</v>
      </c>
      <c r="C501" s="74" t="s">
        <v>1457</v>
      </c>
      <c r="D501" s="74" t="s">
        <v>374</v>
      </c>
      <c r="E501" s="74"/>
      <c r="F501" s="72" t="s">
        <v>8</v>
      </c>
      <c r="G501" s="74"/>
      <c r="H501" s="74"/>
      <c r="I501" s="74"/>
    </row>
    <row r="502">
      <c r="A502" s="77">
        <v>13.0</v>
      </c>
      <c r="B502" s="74" t="s">
        <v>1458</v>
      </c>
      <c r="C502" s="74" t="s">
        <v>1459</v>
      </c>
      <c r="D502" s="74" t="s">
        <v>374</v>
      </c>
      <c r="E502" s="74"/>
      <c r="F502" s="72" t="s">
        <v>8</v>
      </c>
      <c r="G502" s="74"/>
      <c r="H502" s="74"/>
      <c r="I502" s="74"/>
    </row>
    <row r="503">
      <c r="A503" s="77">
        <v>14.0</v>
      </c>
      <c r="B503" s="74" t="s">
        <v>1460</v>
      </c>
      <c r="C503" s="74" t="s">
        <v>1461</v>
      </c>
      <c r="D503" s="74" t="s">
        <v>1462</v>
      </c>
      <c r="E503" s="74"/>
      <c r="F503" s="72" t="s">
        <v>8</v>
      </c>
      <c r="G503" s="74"/>
      <c r="H503" s="74"/>
      <c r="I503" s="74"/>
    </row>
    <row r="504">
      <c r="A504" s="77">
        <v>15.0</v>
      </c>
      <c r="B504" s="74" t="s">
        <v>1463</v>
      </c>
      <c r="C504" s="74" t="s">
        <v>1464</v>
      </c>
      <c r="D504" s="74" t="s">
        <v>1465</v>
      </c>
      <c r="E504" s="74"/>
      <c r="F504" s="72" t="s">
        <v>8</v>
      </c>
      <c r="G504" s="74"/>
      <c r="H504" s="74"/>
      <c r="I504" s="74"/>
    </row>
    <row r="505">
      <c r="A505" s="77">
        <v>16.0</v>
      </c>
      <c r="B505" s="74" t="s">
        <v>1466</v>
      </c>
      <c r="C505" s="74" t="s">
        <v>1467</v>
      </c>
      <c r="D505" s="74" t="s">
        <v>1468</v>
      </c>
      <c r="E505" s="74"/>
      <c r="F505" s="72" t="s">
        <v>8</v>
      </c>
      <c r="G505" s="74"/>
      <c r="H505" s="74"/>
      <c r="I505" s="74"/>
    </row>
    <row r="506">
      <c r="A506" s="77">
        <v>17.0</v>
      </c>
      <c r="B506" s="74" t="s">
        <v>1469</v>
      </c>
      <c r="C506" s="74" t="s">
        <v>1470</v>
      </c>
      <c r="D506" s="74" t="s">
        <v>1471</v>
      </c>
      <c r="E506" s="74"/>
      <c r="F506" s="72" t="s">
        <v>8</v>
      </c>
      <c r="G506" s="74"/>
      <c r="H506" s="74"/>
      <c r="I506" s="74"/>
    </row>
    <row r="507">
      <c r="A507" s="77">
        <v>18.0</v>
      </c>
      <c r="B507" s="74" t="s">
        <v>1472</v>
      </c>
      <c r="C507" s="74" t="s">
        <v>1473</v>
      </c>
      <c r="D507" s="74" t="s">
        <v>1474</v>
      </c>
      <c r="E507" s="74"/>
      <c r="F507" s="72" t="s">
        <v>8</v>
      </c>
      <c r="G507" s="74"/>
      <c r="H507" s="74"/>
      <c r="I507" s="74"/>
    </row>
    <row r="508">
      <c r="A508" s="77">
        <v>19.0</v>
      </c>
      <c r="B508" s="74" t="s">
        <v>1475</v>
      </c>
      <c r="C508" s="74" t="s">
        <v>1476</v>
      </c>
      <c r="D508" s="74" t="s">
        <v>1477</v>
      </c>
      <c r="E508" s="74"/>
      <c r="F508" s="72" t="s">
        <v>8</v>
      </c>
      <c r="G508" s="74"/>
      <c r="H508" s="74"/>
      <c r="I508" s="74"/>
    </row>
    <row r="509">
      <c r="A509" s="77">
        <v>20.0</v>
      </c>
      <c r="B509" s="74" t="s">
        <v>1093</v>
      </c>
      <c r="C509" s="74" t="s">
        <v>1478</v>
      </c>
      <c r="D509" s="74" t="s">
        <v>1479</v>
      </c>
      <c r="E509" s="74"/>
      <c r="F509" s="72" t="s">
        <v>8</v>
      </c>
      <c r="G509" s="74"/>
      <c r="H509" s="74"/>
      <c r="I509" s="74"/>
    </row>
    <row r="510">
      <c r="A510" s="77">
        <v>21.0</v>
      </c>
      <c r="B510" s="74" t="s">
        <v>1480</v>
      </c>
      <c r="C510" s="74" t="s">
        <v>1481</v>
      </c>
      <c r="D510" s="74" t="s">
        <v>1482</v>
      </c>
      <c r="E510" s="74"/>
      <c r="F510" s="72" t="s">
        <v>8</v>
      </c>
      <c r="G510" s="74"/>
      <c r="H510" s="74"/>
      <c r="I510" s="74"/>
    </row>
    <row r="511">
      <c r="A511" s="77">
        <v>22.0</v>
      </c>
      <c r="B511" s="74" t="s">
        <v>1483</v>
      </c>
      <c r="C511" s="74" t="s">
        <v>1484</v>
      </c>
      <c r="D511" s="74" t="s">
        <v>1485</v>
      </c>
      <c r="E511" s="74"/>
      <c r="F511" s="72" t="s">
        <v>8</v>
      </c>
      <c r="G511" s="74"/>
      <c r="H511" s="74"/>
      <c r="I511" s="74"/>
    </row>
    <row r="512">
      <c r="A512" s="77">
        <v>23.0</v>
      </c>
      <c r="B512" s="74" t="s">
        <v>1486</v>
      </c>
      <c r="C512" s="74" t="s">
        <v>1487</v>
      </c>
      <c r="D512" s="74" t="s">
        <v>1252</v>
      </c>
      <c r="E512" s="74"/>
      <c r="F512" s="72" t="s">
        <v>8</v>
      </c>
      <c r="G512" s="74"/>
      <c r="H512" s="74"/>
      <c r="I512" s="74"/>
    </row>
    <row r="513">
      <c r="A513" s="77">
        <v>24.0</v>
      </c>
      <c r="B513" s="74" t="s">
        <v>1488</v>
      </c>
      <c r="C513" s="74" t="s">
        <v>1489</v>
      </c>
      <c r="D513" s="74" t="s">
        <v>1490</v>
      </c>
      <c r="E513" s="74"/>
      <c r="F513" s="72" t="s">
        <v>8</v>
      </c>
      <c r="G513" s="74"/>
      <c r="H513" s="74"/>
      <c r="I513" s="74"/>
    </row>
    <row r="514">
      <c r="A514" s="77">
        <v>25.0</v>
      </c>
      <c r="B514" s="74" t="s">
        <v>1491</v>
      </c>
      <c r="C514" s="74" t="s">
        <v>1492</v>
      </c>
      <c r="D514" s="74" t="s">
        <v>1493</v>
      </c>
      <c r="E514" s="76" t="s">
        <v>1494</v>
      </c>
      <c r="F514" s="75" t="s">
        <v>8</v>
      </c>
      <c r="G514" s="74"/>
      <c r="H514" s="76" t="s">
        <v>1495</v>
      </c>
      <c r="I514" s="74"/>
    </row>
    <row r="515">
      <c r="A515" s="77">
        <v>26.0</v>
      </c>
      <c r="B515" s="74" t="s">
        <v>1496</v>
      </c>
      <c r="C515" s="74" t="s">
        <v>1497</v>
      </c>
      <c r="D515" s="74" t="s">
        <v>1498</v>
      </c>
      <c r="E515" s="74"/>
      <c r="F515" s="72" t="s">
        <v>8</v>
      </c>
      <c r="G515" s="74"/>
      <c r="H515" s="74"/>
      <c r="I515" s="74"/>
    </row>
    <row r="516">
      <c r="A516" s="77">
        <v>27.0</v>
      </c>
      <c r="B516" s="74" t="s">
        <v>1499</v>
      </c>
      <c r="C516" s="74" t="s">
        <v>1500</v>
      </c>
      <c r="D516" s="74" t="s">
        <v>1501</v>
      </c>
      <c r="E516" s="74"/>
      <c r="F516" s="72" t="s">
        <v>8</v>
      </c>
      <c r="G516" s="74"/>
      <c r="H516" s="74"/>
      <c r="I516" s="74"/>
    </row>
    <row r="517">
      <c r="A517" s="77">
        <v>28.0</v>
      </c>
      <c r="B517" s="74" t="s">
        <v>1502</v>
      </c>
      <c r="C517" s="74" t="s">
        <v>1503</v>
      </c>
      <c r="D517" s="74" t="s">
        <v>1283</v>
      </c>
      <c r="E517" s="74"/>
      <c r="F517" s="72" t="s">
        <v>8</v>
      </c>
      <c r="G517" s="74"/>
      <c r="H517" s="74"/>
      <c r="I517" s="74"/>
    </row>
    <row r="518">
      <c r="A518" s="77">
        <v>29.0</v>
      </c>
      <c r="B518" s="74" t="s">
        <v>1504</v>
      </c>
      <c r="C518" s="74" t="s">
        <v>1505</v>
      </c>
      <c r="D518" s="74" t="s">
        <v>1506</v>
      </c>
      <c r="E518" s="74"/>
      <c r="F518" s="72" t="s">
        <v>8</v>
      </c>
      <c r="G518" s="74"/>
      <c r="H518" s="74"/>
      <c r="I518" s="74"/>
    </row>
    <row r="519">
      <c r="A519" s="77">
        <v>30.0</v>
      </c>
      <c r="B519" s="74" t="s">
        <v>1507</v>
      </c>
      <c r="C519" s="74" t="s">
        <v>1508</v>
      </c>
      <c r="D519" s="74" t="s">
        <v>1509</v>
      </c>
      <c r="E519" s="74"/>
      <c r="F519" s="72" t="s">
        <v>8</v>
      </c>
      <c r="G519" s="74"/>
      <c r="H519" s="74"/>
      <c r="I519" s="74"/>
    </row>
    <row r="520">
      <c r="A520" s="77">
        <v>31.0</v>
      </c>
      <c r="B520" s="74" t="s">
        <v>1510</v>
      </c>
      <c r="C520" s="74" t="s">
        <v>1511</v>
      </c>
      <c r="D520" s="74" t="s">
        <v>1512</v>
      </c>
      <c r="E520" s="74"/>
      <c r="F520" s="72" t="s">
        <v>8</v>
      </c>
      <c r="G520" s="74"/>
      <c r="H520" s="74"/>
      <c r="I520" s="74"/>
    </row>
    <row r="521">
      <c r="A521" s="77">
        <v>32.0</v>
      </c>
      <c r="B521" s="74" t="s">
        <v>682</v>
      </c>
      <c r="C521" s="74" t="s">
        <v>731</v>
      </c>
      <c r="D521" s="74" t="s">
        <v>1188</v>
      </c>
      <c r="E521" s="74"/>
      <c r="F521" s="72" t="s">
        <v>8</v>
      </c>
      <c r="G521" s="74"/>
      <c r="H521" s="74"/>
      <c r="I521" s="74"/>
    </row>
    <row r="522">
      <c r="A522" s="77">
        <v>33.0</v>
      </c>
      <c r="B522" s="74" t="s">
        <v>735</v>
      </c>
      <c r="C522" s="74" t="s">
        <v>1513</v>
      </c>
      <c r="D522" s="74" t="s">
        <v>1188</v>
      </c>
      <c r="E522" s="74"/>
      <c r="F522" s="72" t="s">
        <v>8</v>
      </c>
      <c r="G522" s="74"/>
      <c r="H522" s="74"/>
      <c r="I522" s="74"/>
    </row>
    <row r="523">
      <c r="A523" s="77">
        <v>34.0</v>
      </c>
      <c r="B523" s="74" t="s">
        <v>1141</v>
      </c>
      <c r="C523" s="74" t="s">
        <v>1142</v>
      </c>
      <c r="D523" s="74" t="s">
        <v>1143</v>
      </c>
      <c r="E523" s="74"/>
      <c r="F523" s="72" t="s">
        <v>8</v>
      </c>
      <c r="G523" s="74"/>
      <c r="H523" s="74"/>
      <c r="I523" s="74"/>
    </row>
    <row r="524">
      <c r="A524" s="77">
        <v>11.0</v>
      </c>
      <c r="B524" s="78" t="s">
        <v>570</v>
      </c>
      <c r="C524" s="78" t="s">
        <v>1514</v>
      </c>
      <c r="D524" s="78" t="s">
        <v>572</v>
      </c>
      <c r="E524" s="78"/>
      <c r="F524" s="72" t="s">
        <v>8</v>
      </c>
      <c r="G524" s="78"/>
      <c r="H524" s="78"/>
      <c r="I524" s="78"/>
    </row>
    <row r="525">
      <c r="A525" s="77">
        <v>35.0</v>
      </c>
      <c r="B525" s="74" t="s">
        <v>1515</v>
      </c>
      <c r="C525" s="74" t="s">
        <v>1408</v>
      </c>
      <c r="D525" s="74" t="s">
        <v>1409</v>
      </c>
      <c r="E525" s="74"/>
      <c r="F525" s="72" t="s">
        <v>8</v>
      </c>
      <c r="G525" s="74"/>
      <c r="H525" s="74"/>
      <c r="I525" s="74"/>
    </row>
    <row r="526">
      <c r="A526" s="77">
        <v>36.0</v>
      </c>
      <c r="B526" s="74" t="s">
        <v>1516</v>
      </c>
      <c r="C526" s="74" t="s">
        <v>1408</v>
      </c>
      <c r="D526" s="74" t="s">
        <v>1411</v>
      </c>
      <c r="E526" s="74"/>
      <c r="F526" s="72" t="s">
        <v>8</v>
      </c>
      <c r="G526" s="74"/>
      <c r="H526" s="74"/>
      <c r="I526" s="74"/>
    </row>
    <row r="527">
      <c r="A527" s="66" t="s">
        <v>68</v>
      </c>
      <c r="B527" s="91"/>
      <c r="C527" s="91"/>
      <c r="D527" s="67"/>
      <c r="E527" s="79"/>
      <c r="F527" s="79"/>
      <c r="G527" s="80"/>
      <c r="H527" s="80"/>
      <c r="I527" s="80"/>
    </row>
    <row r="528">
      <c r="A528" s="77">
        <v>1.0</v>
      </c>
      <c r="B528" s="74" t="s">
        <v>1517</v>
      </c>
      <c r="C528" s="74" t="s">
        <v>1518</v>
      </c>
      <c r="D528" s="74" t="s">
        <v>1519</v>
      </c>
      <c r="E528" s="74"/>
      <c r="F528" s="72" t="s">
        <v>8</v>
      </c>
      <c r="G528" s="74"/>
      <c r="H528" s="74"/>
      <c r="I528" s="74"/>
    </row>
    <row r="529">
      <c r="A529" s="77">
        <v>2.0</v>
      </c>
      <c r="B529" s="74" t="s">
        <v>1520</v>
      </c>
      <c r="C529" s="74" t="s">
        <v>1521</v>
      </c>
      <c r="D529" s="74" t="s">
        <v>1522</v>
      </c>
      <c r="E529" s="74"/>
      <c r="F529" s="72" t="s">
        <v>8</v>
      </c>
      <c r="G529" s="74"/>
      <c r="H529" s="74"/>
      <c r="I529" s="74"/>
    </row>
    <row r="530">
      <c r="A530" s="77">
        <v>3.0</v>
      </c>
      <c r="B530" s="74" t="s">
        <v>1435</v>
      </c>
      <c r="C530" s="74" t="s">
        <v>1007</v>
      </c>
      <c r="D530" s="74" t="s">
        <v>374</v>
      </c>
      <c r="E530" s="74"/>
      <c r="F530" s="72" t="s">
        <v>8</v>
      </c>
      <c r="G530" s="74"/>
      <c r="H530" s="74"/>
      <c r="I530" s="74"/>
    </row>
    <row r="531">
      <c r="A531" s="77">
        <v>4.0</v>
      </c>
      <c r="B531" s="74" t="s">
        <v>1523</v>
      </c>
      <c r="C531" s="74" t="s">
        <v>1524</v>
      </c>
      <c r="D531" s="74" t="s">
        <v>374</v>
      </c>
      <c r="E531" s="74"/>
      <c r="F531" s="72" t="s">
        <v>8</v>
      </c>
      <c r="G531" s="74"/>
      <c r="H531" s="74"/>
      <c r="I531" s="74"/>
    </row>
    <row r="532">
      <c r="A532" s="77">
        <v>5.0</v>
      </c>
      <c r="B532" s="74" t="s">
        <v>1525</v>
      </c>
      <c r="C532" s="74" t="s">
        <v>1526</v>
      </c>
      <c r="D532" s="74" t="s">
        <v>1527</v>
      </c>
      <c r="E532" s="74"/>
      <c r="F532" s="72" t="s">
        <v>8</v>
      </c>
      <c r="G532" s="74"/>
      <c r="H532" s="74"/>
      <c r="I532" s="74"/>
    </row>
    <row r="533">
      <c r="A533" s="77">
        <v>6.0</v>
      </c>
      <c r="B533" s="74" t="s">
        <v>1528</v>
      </c>
      <c r="C533" s="74" t="s">
        <v>1529</v>
      </c>
      <c r="D533" s="74" t="s">
        <v>1530</v>
      </c>
      <c r="E533" s="74"/>
      <c r="F533" s="72" t="s">
        <v>8</v>
      </c>
      <c r="G533" s="74"/>
      <c r="H533" s="74"/>
      <c r="I533" s="74"/>
    </row>
    <row r="534">
      <c r="A534" s="77">
        <v>7.0</v>
      </c>
      <c r="B534" s="74" t="s">
        <v>1531</v>
      </c>
      <c r="C534" s="74" t="s">
        <v>1532</v>
      </c>
      <c r="D534" s="74" t="s">
        <v>1533</v>
      </c>
      <c r="E534" s="74"/>
      <c r="F534" s="72" t="s">
        <v>8</v>
      </c>
      <c r="G534" s="74"/>
      <c r="H534" s="74"/>
      <c r="I534" s="74"/>
    </row>
    <row r="535">
      <c r="A535" s="77">
        <v>8.0</v>
      </c>
      <c r="B535" s="74" t="s">
        <v>1534</v>
      </c>
      <c r="C535" s="74" t="s">
        <v>1535</v>
      </c>
      <c r="D535" s="74" t="s">
        <v>1536</v>
      </c>
      <c r="E535" s="74"/>
      <c r="F535" s="72" t="s">
        <v>8</v>
      </c>
      <c r="G535" s="74"/>
      <c r="H535" s="74"/>
      <c r="I535" s="74"/>
    </row>
    <row r="536">
      <c r="A536" s="77">
        <v>9.0</v>
      </c>
      <c r="B536" s="74" t="s">
        <v>1537</v>
      </c>
      <c r="C536" s="74" t="s">
        <v>1538</v>
      </c>
      <c r="D536" s="74" t="s">
        <v>1539</v>
      </c>
      <c r="E536" s="74"/>
      <c r="F536" s="72" t="s">
        <v>8</v>
      </c>
      <c r="G536" s="74"/>
      <c r="H536" s="74"/>
      <c r="I536" s="74"/>
    </row>
    <row r="537">
      <c r="A537" s="77">
        <v>10.0</v>
      </c>
      <c r="B537" s="74" t="s">
        <v>1540</v>
      </c>
      <c r="C537" s="74" t="s">
        <v>1541</v>
      </c>
      <c r="D537" s="74" t="s">
        <v>1542</v>
      </c>
      <c r="E537" s="74"/>
      <c r="F537" s="72" t="s">
        <v>8</v>
      </c>
      <c r="G537" s="74"/>
      <c r="H537" s="74"/>
      <c r="I537" s="74"/>
    </row>
    <row r="538">
      <c r="A538" s="77">
        <v>11.0</v>
      </c>
      <c r="B538" s="74" t="s">
        <v>1543</v>
      </c>
      <c r="C538" s="74" t="s">
        <v>1544</v>
      </c>
      <c r="D538" s="74" t="s">
        <v>1545</v>
      </c>
      <c r="E538" s="74"/>
      <c r="F538" s="72" t="s">
        <v>8</v>
      </c>
      <c r="G538" s="74"/>
      <c r="H538" s="74"/>
      <c r="I538" s="74"/>
    </row>
    <row r="539">
      <c r="A539" s="77">
        <v>12.0</v>
      </c>
      <c r="B539" s="74" t="s">
        <v>1441</v>
      </c>
      <c r="C539" s="74" t="s">
        <v>1442</v>
      </c>
      <c r="D539" s="74" t="s">
        <v>1443</v>
      </c>
      <c r="E539" s="74"/>
      <c r="F539" s="72" t="s">
        <v>8</v>
      </c>
      <c r="G539" s="74"/>
      <c r="H539" s="74"/>
      <c r="I539" s="74"/>
    </row>
    <row r="540">
      <c r="A540" s="77">
        <v>13.0</v>
      </c>
      <c r="B540" s="74" t="s">
        <v>1444</v>
      </c>
      <c r="C540" s="74" t="s">
        <v>1445</v>
      </c>
      <c r="D540" s="74" t="s">
        <v>1546</v>
      </c>
      <c r="E540" s="74"/>
      <c r="F540" s="72" t="s">
        <v>8</v>
      </c>
      <c r="G540" s="74"/>
      <c r="H540" s="74"/>
      <c r="I540" s="74"/>
    </row>
    <row r="541">
      <c r="A541" s="77">
        <v>14.0</v>
      </c>
      <c r="B541" s="74" t="s">
        <v>1447</v>
      </c>
      <c r="C541" s="74" t="s">
        <v>1448</v>
      </c>
      <c r="D541" s="74" t="s">
        <v>374</v>
      </c>
      <c r="E541" s="74"/>
      <c r="F541" s="72" t="s">
        <v>8</v>
      </c>
      <c r="G541" s="74"/>
      <c r="H541" s="74"/>
      <c r="I541" s="74"/>
    </row>
    <row r="542">
      <c r="A542" s="77">
        <v>15.0</v>
      </c>
      <c r="B542" s="74" t="s">
        <v>1449</v>
      </c>
      <c r="C542" s="74" t="s">
        <v>1450</v>
      </c>
      <c r="D542" s="74" t="s">
        <v>374</v>
      </c>
      <c r="E542" s="74"/>
      <c r="F542" s="72" t="s">
        <v>8</v>
      </c>
      <c r="G542" s="74"/>
      <c r="H542" s="74"/>
      <c r="I542" s="74"/>
    </row>
    <row r="543">
      <c r="A543" s="77">
        <v>16.0</v>
      </c>
      <c r="B543" s="74" t="s">
        <v>1451</v>
      </c>
      <c r="C543" s="74" t="s">
        <v>1452</v>
      </c>
      <c r="D543" s="74" t="s">
        <v>1453</v>
      </c>
      <c r="E543" s="74"/>
      <c r="F543" s="72" t="s">
        <v>8</v>
      </c>
      <c r="G543" s="74"/>
      <c r="H543" s="74"/>
      <c r="I543" s="74"/>
    </row>
    <row r="544">
      <c r="A544" s="77">
        <v>17.0</v>
      </c>
      <c r="B544" s="74" t="s">
        <v>1454</v>
      </c>
      <c r="C544" s="74" t="s">
        <v>1455</v>
      </c>
      <c r="D544" s="74" t="s">
        <v>1453</v>
      </c>
      <c r="E544" s="74"/>
      <c r="F544" s="72" t="s">
        <v>8</v>
      </c>
      <c r="G544" s="74"/>
      <c r="H544" s="74"/>
      <c r="I544" s="74"/>
    </row>
    <row r="545">
      <c r="A545" s="77">
        <v>18.0</v>
      </c>
      <c r="B545" s="74" t="s">
        <v>1456</v>
      </c>
      <c r="C545" s="74" t="s">
        <v>1457</v>
      </c>
      <c r="D545" s="74" t="s">
        <v>374</v>
      </c>
      <c r="E545" s="74"/>
      <c r="F545" s="72" t="s">
        <v>8</v>
      </c>
      <c r="G545" s="74"/>
      <c r="H545" s="74"/>
      <c r="I545" s="74"/>
    </row>
    <row r="546">
      <c r="A546" s="77">
        <v>19.0</v>
      </c>
      <c r="B546" s="74" t="s">
        <v>1458</v>
      </c>
      <c r="C546" s="74" t="s">
        <v>1459</v>
      </c>
      <c r="D546" s="74" t="s">
        <v>374</v>
      </c>
      <c r="E546" s="74"/>
      <c r="F546" s="72" t="s">
        <v>8</v>
      </c>
      <c r="G546" s="74"/>
      <c r="H546" s="74"/>
      <c r="I546" s="74"/>
    </row>
    <row r="547">
      <c r="A547" s="77">
        <v>20.0</v>
      </c>
      <c r="B547" s="74" t="s">
        <v>1460</v>
      </c>
      <c r="C547" s="74" t="s">
        <v>1547</v>
      </c>
      <c r="D547" s="74" t="s">
        <v>1462</v>
      </c>
      <c r="E547" s="74"/>
      <c r="F547" s="72" t="s">
        <v>8</v>
      </c>
      <c r="G547" s="74"/>
      <c r="H547" s="74"/>
      <c r="I547" s="74"/>
    </row>
    <row r="548">
      <c r="A548" s="77">
        <v>21.0</v>
      </c>
      <c r="B548" s="74" t="s">
        <v>1463</v>
      </c>
      <c r="C548" s="74" t="s">
        <v>1464</v>
      </c>
      <c r="D548" s="74" t="s">
        <v>1465</v>
      </c>
      <c r="E548" s="74"/>
      <c r="F548" s="72" t="s">
        <v>8</v>
      </c>
      <c r="G548" s="74"/>
      <c r="H548" s="74"/>
      <c r="I548" s="74"/>
    </row>
    <row r="549">
      <c r="A549" s="77">
        <v>22.0</v>
      </c>
      <c r="B549" s="74" t="s">
        <v>1548</v>
      </c>
      <c r="C549" s="74" t="s">
        <v>1549</v>
      </c>
      <c r="D549" s="74" t="s">
        <v>1550</v>
      </c>
      <c r="E549" s="74"/>
      <c r="F549" s="72" t="s">
        <v>8</v>
      </c>
      <c r="G549" s="74"/>
      <c r="H549" s="74"/>
      <c r="I549" s="74"/>
    </row>
    <row r="550">
      <c r="A550" s="77">
        <v>23.0</v>
      </c>
      <c r="B550" s="74" t="s">
        <v>1469</v>
      </c>
      <c r="C550" s="74" t="s">
        <v>1470</v>
      </c>
      <c r="D550" s="74" t="s">
        <v>1551</v>
      </c>
      <c r="E550" s="74"/>
      <c r="F550" s="72" t="s">
        <v>8</v>
      </c>
      <c r="G550" s="74"/>
      <c r="H550" s="74"/>
      <c r="I550" s="74"/>
    </row>
    <row r="551">
      <c r="A551" s="77">
        <v>24.0</v>
      </c>
      <c r="B551" s="74" t="s">
        <v>1472</v>
      </c>
      <c r="C551" s="74" t="s">
        <v>1552</v>
      </c>
      <c r="D551" s="74" t="s">
        <v>1474</v>
      </c>
      <c r="E551" s="74"/>
      <c r="F551" s="72" t="s">
        <v>8</v>
      </c>
      <c r="G551" s="74"/>
      <c r="H551" s="74"/>
      <c r="I551" s="74"/>
    </row>
    <row r="552">
      <c r="A552" s="77">
        <v>25.0</v>
      </c>
      <c r="B552" s="74" t="s">
        <v>1475</v>
      </c>
      <c r="C552" s="74" t="s">
        <v>1553</v>
      </c>
      <c r="D552" s="74" t="s">
        <v>1477</v>
      </c>
      <c r="E552" s="74"/>
      <c r="F552" s="72" t="s">
        <v>8</v>
      </c>
      <c r="G552" s="74"/>
      <c r="H552" s="74"/>
      <c r="I552" s="74"/>
    </row>
    <row r="553">
      <c r="A553" s="77">
        <v>26.0</v>
      </c>
      <c r="B553" s="74" t="s">
        <v>1093</v>
      </c>
      <c r="C553" s="74" t="s">
        <v>1554</v>
      </c>
      <c r="D553" s="74" t="s">
        <v>1479</v>
      </c>
      <c r="E553" s="74"/>
      <c r="F553" s="72" t="s">
        <v>8</v>
      </c>
      <c r="G553" s="74"/>
      <c r="H553" s="74"/>
      <c r="I553" s="74"/>
    </row>
    <row r="554">
      <c r="A554" s="77">
        <v>27.0</v>
      </c>
      <c r="B554" s="74" t="s">
        <v>1555</v>
      </c>
      <c r="C554" s="74" t="s">
        <v>1481</v>
      </c>
      <c r="D554" s="74" t="s">
        <v>1482</v>
      </c>
      <c r="E554" s="74"/>
      <c r="F554" s="72" t="s">
        <v>8</v>
      </c>
      <c r="G554" s="74"/>
      <c r="H554" s="74"/>
      <c r="I554" s="74"/>
    </row>
    <row r="555">
      <c r="A555" s="77">
        <v>28.0</v>
      </c>
      <c r="B555" s="74" t="s">
        <v>1556</v>
      </c>
      <c r="C555" s="74" t="s">
        <v>1557</v>
      </c>
      <c r="D555" s="74" t="s">
        <v>1104</v>
      </c>
      <c r="E555" s="74"/>
      <c r="F555" s="72" t="s">
        <v>8</v>
      </c>
      <c r="G555" s="74"/>
      <c r="H555" s="74"/>
      <c r="I555" s="74"/>
    </row>
    <row r="556">
      <c r="A556" s="77">
        <v>29.0</v>
      </c>
      <c r="B556" s="74" t="s">
        <v>1558</v>
      </c>
      <c r="C556" s="74" t="s">
        <v>1559</v>
      </c>
      <c r="D556" s="74" t="s">
        <v>1252</v>
      </c>
      <c r="E556" s="74"/>
      <c r="F556" s="72" t="s">
        <v>8</v>
      </c>
      <c r="G556" s="74"/>
      <c r="H556" s="74"/>
      <c r="I556" s="74"/>
    </row>
    <row r="557">
      <c r="A557" s="77">
        <v>30.0</v>
      </c>
      <c r="B557" s="74" t="s">
        <v>1560</v>
      </c>
      <c r="C557" s="74" t="s">
        <v>1503</v>
      </c>
      <c r="D557" s="74" t="s">
        <v>1283</v>
      </c>
      <c r="E557" s="74"/>
      <c r="F557" s="72" t="s">
        <v>8</v>
      </c>
      <c r="G557" s="74"/>
      <c r="H557" s="74"/>
      <c r="I557" s="74"/>
    </row>
    <row r="558">
      <c r="A558" s="77">
        <v>31.0</v>
      </c>
      <c r="B558" s="74" t="s">
        <v>1561</v>
      </c>
      <c r="C558" s="74" t="s">
        <v>1489</v>
      </c>
      <c r="D558" s="74" t="s">
        <v>1562</v>
      </c>
      <c r="E558" s="74"/>
      <c r="F558" s="72" t="s">
        <v>8</v>
      </c>
      <c r="G558" s="74"/>
      <c r="H558" s="74"/>
      <c r="I558" s="74"/>
    </row>
    <row r="559">
      <c r="A559" s="77">
        <v>32.0</v>
      </c>
      <c r="B559" s="76" t="s">
        <v>1563</v>
      </c>
      <c r="C559" s="74" t="s">
        <v>1564</v>
      </c>
      <c r="D559" s="74" t="s">
        <v>1493</v>
      </c>
      <c r="E559" s="76" t="s">
        <v>1565</v>
      </c>
      <c r="F559" s="75" t="s">
        <v>8</v>
      </c>
      <c r="G559" s="74"/>
      <c r="H559" s="76" t="s">
        <v>1495</v>
      </c>
      <c r="I559" s="74"/>
    </row>
    <row r="560">
      <c r="A560" s="77">
        <v>33.0</v>
      </c>
      <c r="B560" s="74" t="s">
        <v>1566</v>
      </c>
      <c r="C560" s="74" t="s">
        <v>1133</v>
      </c>
      <c r="D560" s="74" t="s">
        <v>1567</v>
      </c>
      <c r="E560" s="74"/>
      <c r="F560" s="75" t="s">
        <v>8</v>
      </c>
      <c r="G560" s="74"/>
      <c r="H560" s="74"/>
      <c r="I560" s="74"/>
    </row>
    <row r="561">
      <c r="A561" s="77">
        <v>34.0</v>
      </c>
      <c r="B561" s="74" t="s">
        <v>682</v>
      </c>
      <c r="C561" s="74" t="s">
        <v>731</v>
      </c>
      <c r="D561" s="74" t="s">
        <v>1188</v>
      </c>
      <c r="E561" s="74"/>
      <c r="F561" s="72" t="s">
        <v>8</v>
      </c>
      <c r="G561" s="74"/>
      <c r="H561" s="74"/>
      <c r="I561" s="74"/>
    </row>
    <row r="562">
      <c r="A562" s="77">
        <v>35.0</v>
      </c>
      <c r="B562" s="78" t="s">
        <v>1568</v>
      </c>
      <c r="C562" s="78" t="s">
        <v>1569</v>
      </c>
      <c r="D562" s="74" t="s">
        <v>1188</v>
      </c>
      <c r="E562" s="78"/>
      <c r="F562" s="72" t="s">
        <v>8</v>
      </c>
      <c r="G562" s="78"/>
      <c r="H562" s="78"/>
      <c r="I562" s="78"/>
    </row>
    <row r="563">
      <c r="A563" s="77">
        <v>36.0</v>
      </c>
      <c r="B563" s="78" t="s">
        <v>1570</v>
      </c>
      <c r="C563" s="78" t="s">
        <v>1513</v>
      </c>
      <c r="D563" s="74" t="s">
        <v>1188</v>
      </c>
      <c r="E563" s="78"/>
      <c r="F563" s="72" t="s">
        <v>8</v>
      </c>
      <c r="G563" s="78"/>
      <c r="H563" s="78"/>
      <c r="I563" s="78"/>
    </row>
    <row r="564">
      <c r="A564" s="77">
        <v>37.0</v>
      </c>
      <c r="B564" s="78" t="s">
        <v>1141</v>
      </c>
      <c r="C564" s="78" t="s">
        <v>1142</v>
      </c>
      <c r="D564" s="78" t="s">
        <v>1143</v>
      </c>
      <c r="E564" s="78"/>
      <c r="F564" s="72" t="s">
        <v>8</v>
      </c>
      <c r="G564" s="78"/>
      <c r="H564" s="78"/>
      <c r="I564" s="78"/>
    </row>
    <row r="565">
      <c r="A565" s="77">
        <v>38.0</v>
      </c>
      <c r="B565" s="78" t="s">
        <v>570</v>
      </c>
      <c r="C565" s="78" t="s">
        <v>1571</v>
      </c>
      <c r="D565" s="78" t="s">
        <v>572</v>
      </c>
      <c r="E565" s="78"/>
      <c r="F565" s="72" t="s">
        <v>8</v>
      </c>
      <c r="G565" s="78"/>
      <c r="H565" s="78"/>
      <c r="I565" s="74"/>
    </row>
    <row r="566">
      <c r="A566" s="77">
        <v>39.0</v>
      </c>
      <c r="B566" s="78" t="s">
        <v>1572</v>
      </c>
      <c r="C566" s="78" t="s">
        <v>1408</v>
      </c>
      <c r="D566" s="78" t="s">
        <v>1409</v>
      </c>
      <c r="E566" s="78"/>
      <c r="F566" s="72" t="s">
        <v>8</v>
      </c>
      <c r="G566" s="78"/>
      <c r="H566" s="78"/>
      <c r="I566" s="78"/>
    </row>
    <row r="567">
      <c r="A567" s="77">
        <v>40.0</v>
      </c>
      <c r="B567" s="78" t="s">
        <v>1573</v>
      </c>
      <c r="C567" s="78" t="s">
        <v>1408</v>
      </c>
      <c r="D567" s="78" t="s">
        <v>1574</v>
      </c>
      <c r="E567" s="78"/>
      <c r="F567" s="72" t="s">
        <v>8</v>
      </c>
      <c r="G567" s="78"/>
      <c r="H567" s="78"/>
      <c r="I567" s="78"/>
    </row>
    <row r="568">
      <c r="A568" s="66" t="s">
        <v>69</v>
      </c>
      <c r="B568" s="91"/>
      <c r="C568" s="91"/>
      <c r="D568" s="67"/>
      <c r="E568" s="79"/>
      <c r="F568" s="79"/>
      <c r="G568" s="80"/>
      <c r="H568" s="80"/>
      <c r="I568" s="80"/>
    </row>
    <row r="569">
      <c r="A569" s="77">
        <v>1.0</v>
      </c>
      <c r="B569" s="78" t="s">
        <v>1575</v>
      </c>
      <c r="C569" s="78" t="s">
        <v>1576</v>
      </c>
      <c r="D569" s="78" t="s">
        <v>1577</v>
      </c>
      <c r="E569" s="78"/>
      <c r="F569" s="72" t="s">
        <v>8</v>
      </c>
      <c r="G569" s="78"/>
      <c r="H569" s="78"/>
      <c r="I569" s="78"/>
    </row>
    <row r="570">
      <c r="A570" s="77">
        <v>2.0</v>
      </c>
      <c r="B570" s="78" t="s">
        <v>1578</v>
      </c>
      <c r="C570" s="78" t="s">
        <v>1579</v>
      </c>
      <c r="D570" s="78" t="s">
        <v>1580</v>
      </c>
      <c r="E570" s="78"/>
      <c r="F570" s="72" t="s">
        <v>8</v>
      </c>
      <c r="G570" s="78"/>
      <c r="H570" s="78"/>
      <c r="I570" s="78"/>
    </row>
    <row r="571">
      <c r="A571" s="77">
        <v>3.0</v>
      </c>
      <c r="B571" s="74" t="s">
        <v>1581</v>
      </c>
      <c r="C571" s="74" t="s">
        <v>1007</v>
      </c>
      <c r="D571" s="74" t="s">
        <v>374</v>
      </c>
      <c r="E571" s="74"/>
      <c r="F571" s="72" t="s">
        <v>8</v>
      </c>
      <c r="G571" s="74"/>
      <c r="H571" s="74"/>
      <c r="I571" s="74"/>
    </row>
    <row r="572">
      <c r="A572" s="77">
        <v>4.0</v>
      </c>
      <c r="B572" s="74" t="s">
        <v>1582</v>
      </c>
      <c r="C572" s="74" t="s">
        <v>1583</v>
      </c>
      <c r="D572" s="74" t="s">
        <v>374</v>
      </c>
      <c r="E572" s="74"/>
      <c r="F572" s="72" t="s">
        <v>8</v>
      </c>
      <c r="G572" s="74"/>
      <c r="H572" s="74"/>
      <c r="I572" s="74"/>
    </row>
    <row r="573">
      <c r="A573" s="77">
        <v>5.0</v>
      </c>
      <c r="B573" s="74" t="s">
        <v>1584</v>
      </c>
      <c r="C573" s="74" t="s">
        <v>1585</v>
      </c>
      <c r="D573" s="74" t="s">
        <v>374</v>
      </c>
      <c r="E573" s="74"/>
      <c r="F573" s="72" t="s">
        <v>8</v>
      </c>
      <c r="G573" s="74"/>
      <c r="H573" s="74"/>
      <c r="I573" s="74"/>
    </row>
    <row r="574">
      <c r="A574" s="77">
        <v>6.0</v>
      </c>
      <c r="B574" s="74" t="s">
        <v>1586</v>
      </c>
      <c r="C574" s="74" t="s">
        <v>1587</v>
      </c>
      <c r="D574" s="74" t="s">
        <v>1588</v>
      </c>
      <c r="E574" s="74"/>
      <c r="F574" s="72" t="s">
        <v>8</v>
      </c>
      <c r="G574" s="74"/>
      <c r="H574" s="74"/>
      <c r="I574" s="74"/>
    </row>
    <row r="575">
      <c r="A575" s="77">
        <v>7.0</v>
      </c>
      <c r="B575" s="74" t="s">
        <v>1589</v>
      </c>
      <c r="C575" s="74" t="s">
        <v>1590</v>
      </c>
      <c r="D575" s="74" t="s">
        <v>1591</v>
      </c>
      <c r="E575" s="74"/>
      <c r="F575" s="72" t="s">
        <v>8</v>
      </c>
      <c r="G575" s="74"/>
      <c r="H575" s="74"/>
      <c r="I575" s="74"/>
    </row>
    <row r="576">
      <c r="A576" s="77">
        <v>8.0</v>
      </c>
      <c r="B576" s="74" t="s">
        <v>1592</v>
      </c>
      <c r="C576" s="74" t="s">
        <v>1593</v>
      </c>
      <c r="D576" s="74" t="s">
        <v>1594</v>
      </c>
      <c r="E576" s="74"/>
      <c r="F576" s="72" t="s">
        <v>8</v>
      </c>
      <c r="G576" s="74"/>
      <c r="H576" s="74"/>
      <c r="I576" s="74"/>
    </row>
    <row r="577">
      <c r="A577" s="77">
        <v>9.0</v>
      </c>
      <c r="B577" s="74" t="s">
        <v>1595</v>
      </c>
      <c r="C577" s="74" t="s">
        <v>1596</v>
      </c>
      <c r="D577" s="74" t="s">
        <v>1597</v>
      </c>
      <c r="E577" s="74"/>
      <c r="F577" s="72" t="s">
        <v>8</v>
      </c>
      <c r="G577" s="74"/>
      <c r="H577" s="74"/>
      <c r="I577" s="74"/>
    </row>
    <row r="578">
      <c r="A578" s="77">
        <v>10.0</v>
      </c>
      <c r="B578" s="74" t="s">
        <v>1598</v>
      </c>
      <c r="C578" s="74" t="s">
        <v>1599</v>
      </c>
      <c r="D578" s="74" t="s">
        <v>1600</v>
      </c>
      <c r="E578" s="74"/>
      <c r="F578" s="72" t="s">
        <v>8</v>
      </c>
      <c r="G578" s="74"/>
      <c r="H578" s="74"/>
      <c r="I578" s="74"/>
    </row>
    <row r="579">
      <c r="A579" s="77">
        <v>11.0</v>
      </c>
      <c r="B579" s="74" t="s">
        <v>1601</v>
      </c>
      <c r="C579" s="74" t="s">
        <v>1602</v>
      </c>
      <c r="D579" s="74" t="s">
        <v>1539</v>
      </c>
      <c r="E579" s="74"/>
      <c r="F579" s="72" t="s">
        <v>8</v>
      </c>
      <c r="G579" s="74"/>
      <c r="H579" s="74"/>
      <c r="I579" s="74"/>
    </row>
    <row r="580">
      <c r="A580" s="77">
        <v>12.0</v>
      </c>
      <c r="B580" s="74" t="s">
        <v>1603</v>
      </c>
      <c r="C580" s="74" t="s">
        <v>1604</v>
      </c>
      <c r="D580" s="74" t="s">
        <v>1605</v>
      </c>
      <c r="E580" s="74"/>
      <c r="F580" s="72" t="s">
        <v>8</v>
      </c>
      <c r="G580" s="74"/>
      <c r="H580" s="74"/>
      <c r="I580" s="74"/>
    </row>
    <row r="581">
      <c r="A581" s="77">
        <v>13.0</v>
      </c>
      <c r="B581" s="74" t="s">
        <v>1606</v>
      </c>
      <c r="C581" s="74" t="s">
        <v>1442</v>
      </c>
      <c r="D581" s="74" t="s">
        <v>1443</v>
      </c>
      <c r="E581" s="74"/>
      <c r="F581" s="72" t="s">
        <v>8</v>
      </c>
      <c r="G581" s="74"/>
      <c r="H581" s="74"/>
      <c r="I581" s="74"/>
    </row>
    <row r="582">
      <c r="A582" s="77">
        <v>14.0</v>
      </c>
      <c r="B582" s="74" t="s">
        <v>1444</v>
      </c>
      <c r="C582" s="74" t="s">
        <v>1607</v>
      </c>
      <c r="D582" s="74" t="s">
        <v>1546</v>
      </c>
      <c r="E582" s="74"/>
      <c r="F582" s="72" t="s">
        <v>8</v>
      </c>
      <c r="G582" s="74"/>
      <c r="H582" s="74"/>
      <c r="I582" s="74"/>
    </row>
    <row r="583">
      <c r="A583" s="77">
        <v>15.0</v>
      </c>
      <c r="B583" s="78" t="s">
        <v>1608</v>
      </c>
      <c r="C583" s="78" t="s">
        <v>1452</v>
      </c>
      <c r="D583" s="78" t="s">
        <v>1609</v>
      </c>
      <c r="E583" s="78"/>
      <c r="F583" s="72" t="s">
        <v>8</v>
      </c>
      <c r="G583" s="78"/>
      <c r="H583" s="78"/>
      <c r="I583" s="78"/>
    </row>
    <row r="584">
      <c r="A584" s="77">
        <v>16.0</v>
      </c>
      <c r="B584" s="78" t="s">
        <v>1610</v>
      </c>
      <c r="C584" s="78" t="s">
        <v>1611</v>
      </c>
      <c r="D584" s="78" t="s">
        <v>1609</v>
      </c>
      <c r="E584" s="78"/>
      <c r="F584" s="72" t="s">
        <v>8</v>
      </c>
      <c r="G584" s="78"/>
      <c r="H584" s="78"/>
      <c r="I584" s="78"/>
    </row>
    <row r="585">
      <c r="A585" s="77">
        <v>17.0</v>
      </c>
      <c r="B585" s="78" t="s">
        <v>1612</v>
      </c>
      <c r="C585" s="78" t="s">
        <v>1613</v>
      </c>
      <c r="D585" s="78" t="s">
        <v>374</v>
      </c>
      <c r="E585" s="78"/>
      <c r="F585" s="72" t="s">
        <v>8</v>
      </c>
      <c r="G585" s="78"/>
      <c r="H585" s="78"/>
      <c r="I585" s="78"/>
    </row>
    <row r="586">
      <c r="A586" s="77">
        <v>18.0</v>
      </c>
      <c r="B586" s="78" t="s">
        <v>1614</v>
      </c>
      <c r="C586" s="78" t="s">
        <v>1457</v>
      </c>
      <c r="D586" s="78" t="s">
        <v>374</v>
      </c>
      <c r="E586" s="78"/>
      <c r="F586" s="72" t="s">
        <v>8</v>
      </c>
      <c r="G586" s="78"/>
      <c r="H586" s="78"/>
      <c r="I586" s="78"/>
    </row>
    <row r="587">
      <c r="A587" s="77">
        <v>19.0</v>
      </c>
      <c r="B587" s="74" t="s">
        <v>1615</v>
      </c>
      <c r="C587" s="74" t="s">
        <v>1464</v>
      </c>
      <c r="D587" s="74" t="s">
        <v>1616</v>
      </c>
      <c r="E587" s="74"/>
      <c r="F587" s="72" t="s">
        <v>8</v>
      </c>
      <c r="G587" s="74"/>
      <c r="H587" s="74"/>
      <c r="I587" s="74"/>
    </row>
    <row r="588">
      <c r="A588" s="77">
        <v>20.0</v>
      </c>
      <c r="B588" s="74" t="s">
        <v>1617</v>
      </c>
      <c r="C588" s="74" t="s">
        <v>1549</v>
      </c>
      <c r="D588" s="74" t="s">
        <v>1618</v>
      </c>
      <c r="E588" s="74"/>
      <c r="F588" s="72" t="s">
        <v>8</v>
      </c>
      <c r="G588" s="74"/>
      <c r="H588" s="74"/>
      <c r="I588" s="74"/>
    </row>
    <row r="589">
      <c r="A589" s="77">
        <v>21.0</v>
      </c>
      <c r="B589" s="74" t="s">
        <v>1619</v>
      </c>
      <c r="C589" s="74" t="s">
        <v>1620</v>
      </c>
      <c r="D589" s="74" t="s">
        <v>1621</v>
      </c>
      <c r="E589" s="74"/>
      <c r="F589" s="72" t="s">
        <v>8</v>
      </c>
      <c r="G589" s="74"/>
      <c r="H589" s="74"/>
      <c r="I589" s="74"/>
    </row>
    <row r="590">
      <c r="A590" s="77">
        <v>22.0</v>
      </c>
      <c r="B590" s="74" t="s">
        <v>1475</v>
      </c>
      <c r="C590" s="74" t="s">
        <v>1622</v>
      </c>
      <c r="D590" s="74" t="s">
        <v>1623</v>
      </c>
      <c r="E590" s="74"/>
      <c r="F590" s="72" t="s">
        <v>8</v>
      </c>
      <c r="G590" s="74"/>
      <c r="H590" s="74"/>
      <c r="I590" s="74"/>
    </row>
    <row r="591">
      <c r="A591" s="77">
        <v>23.0</v>
      </c>
      <c r="B591" s="74" t="s">
        <v>1359</v>
      </c>
      <c r="C591" s="74" t="s">
        <v>1106</v>
      </c>
      <c r="D591" s="74" t="s">
        <v>1624</v>
      </c>
      <c r="E591" s="74"/>
      <c r="F591" s="72" t="s">
        <v>8</v>
      </c>
      <c r="G591" s="74"/>
      <c r="H591" s="74"/>
      <c r="I591" s="74"/>
    </row>
    <row r="592">
      <c r="A592" s="77">
        <v>24.0</v>
      </c>
      <c r="B592" s="74" t="s">
        <v>1625</v>
      </c>
      <c r="C592" s="74" t="s">
        <v>1626</v>
      </c>
      <c r="D592" s="74" t="s">
        <v>1627</v>
      </c>
      <c r="E592" s="74"/>
      <c r="F592" s="72" t="s">
        <v>8</v>
      </c>
      <c r="G592" s="74"/>
      <c r="H592" s="74"/>
      <c r="I592" s="74"/>
    </row>
    <row r="593">
      <c r="A593" s="77">
        <v>25.0</v>
      </c>
      <c r="B593" s="74" t="s">
        <v>1628</v>
      </c>
      <c r="C593" s="74" t="s">
        <v>1629</v>
      </c>
      <c r="D593" s="74" t="s">
        <v>1630</v>
      </c>
      <c r="E593" s="74"/>
      <c r="F593" s="72" t="s">
        <v>8</v>
      </c>
      <c r="G593" s="74"/>
      <c r="H593" s="74"/>
      <c r="I593" s="74"/>
    </row>
    <row r="594">
      <c r="A594" s="77">
        <v>26.0</v>
      </c>
      <c r="B594" s="76" t="s">
        <v>1631</v>
      </c>
      <c r="C594" s="74" t="s">
        <v>1489</v>
      </c>
      <c r="D594" s="74" t="s">
        <v>1632</v>
      </c>
      <c r="E594" s="74"/>
      <c r="F594" s="72" t="s">
        <v>8</v>
      </c>
      <c r="G594" s="74"/>
      <c r="H594" s="74"/>
      <c r="I594" s="74"/>
    </row>
    <row r="595">
      <c r="A595" s="77">
        <v>28.0</v>
      </c>
      <c r="B595" s="74" t="s">
        <v>1633</v>
      </c>
      <c r="C595" s="74" t="s">
        <v>1503</v>
      </c>
      <c r="D595" s="74" t="s">
        <v>1283</v>
      </c>
      <c r="E595" s="74"/>
      <c r="F595" s="72" t="s">
        <v>8</v>
      </c>
      <c r="G595" s="74"/>
      <c r="H595" s="74"/>
      <c r="I595" s="74"/>
    </row>
    <row r="596">
      <c r="A596" s="77">
        <v>29.0</v>
      </c>
      <c r="B596" s="78" t="s">
        <v>1634</v>
      </c>
      <c r="C596" s="78" t="s">
        <v>1635</v>
      </c>
      <c r="D596" s="78" t="s">
        <v>1636</v>
      </c>
      <c r="E596" s="78"/>
      <c r="F596" s="72" t="s">
        <v>8</v>
      </c>
      <c r="G596" s="78"/>
      <c r="H596" s="78"/>
      <c r="I596" s="78"/>
    </row>
    <row r="597">
      <c r="A597" s="77">
        <v>30.0</v>
      </c>
      <c r="B597" s="78" t="s">
        <v>1637</v>
      </c>
      <c r="C597" s="78" t="s">
        <v>1133</v>
      </c>
      <c r="D597" s="78" t="s">
        <v>1638</v>
      </c>
      <c r="E597" s="78"/>
      <c r="F597" s="72" t="s">
        <v>8</v>
      </c>
      <c r="G597" s="78"/>
      <c r="H597" s="78"/>
      <c r="I597" s="78"/>
    </row>
    <row r="598">
      <c r="A598" s="77">
        <v>31.0</v>
      </c>
      <c r="B598" s="78" t="s">
        <v>682</v>
      </c>
      <c r="C598" s="78" t="s">
        <v>731</v>
      </c>
      <c r="D598" s="78" t="s">
        <v>1188</v>
      </c>
      <c r="E598" s="78"/>
      <c r="F598" s="72" t="s">
        <v>8</v>
      </c>
      <c r="G598" s="78"/>
      <c r="H598" s="78"/>
      <c r="I598" s="78"/>
    </row>
    <row r="599">
      <c r="A599" s="77">
        <v>32.0</v>
      </c>
      <c r="B599" s="78" t="s">
        <v>1568</v>
      </c>
      <c r="C599" s="78" t="s">
        <v>1569</v>
      </c>
      <c r="D599" s="78" t="s">
        <v>1188</v>
      </c>
      <c r="E599" s="78"/>
      <c r="F599" s="72" t="s">
        <v>8</v>
      </c>
      <c r="G599" s="78"/>
      <c r="H599" s="78"/>
      <c r="I599" s="78"/>
    </row>
    <row r="600">
      <c r="A600" s="77">
        <v>33.0</v>
      </c>
      <c r="B600" s="74" t="s">
        <v>1570</v>
      </c>
      <c r="C600" s="74" t="s">
        <v>1513</v>
      </c>
      <c r="D600" s="78" t="s">
        <v>1188</v>
      </c>
      <c r="E600" s="74"/>
      <c r="F600" s="72" t="s">
        <v>8</v>
      </c>
      <c r="G600" s="74"/>
      <c r="H600" s="74"/>
      <c r="I600" s="74"/>
    </row>
    <row r="601">
      <c r="A601" s="77">
        <v>34.0</v>
      </c>
      <c r="B601" s="78" t="s">
        <v>570</v>
      </c>
      <c r="C601" s="78" t="s">
        <v>1639</v>
      </c>
      <c r="D601" s="78" t="s">
        <v>572</v>
      </c>
      <c r="E601" s="78"/>
      <c r="F601" s="72" t="s">
        <v>8</v>
      </c>
      <c r="G601" s="78"/>
      <c r="H601" s="78"/>
      <c r="I601" s="78"/>
    </row>
    <row r="602">
      <c r="A602" s="77">
        <v>35.0</v>
      </c>
      <c r="B602" s="78" t="s">
        <v>1640</v>
      </c>
      <c r="C602" s="78" t="s">
        <v>1408</v>
      </c>
      <c r="D602" s="78" t="s">
        <v>1409</v>
      </c>
      <c r="E602" s="78"/>
      <c r="F602" s="72" t="s">
        <v>8</v>
      </c>
      <c r="G602" s="78"/>
      <c r="H602" s="78"/>
      <c r="I602" s="78"/>
    </row>
    <row r="603">
      <c r="A603" s="77">
        <v>36.0</v>
      </c>
      <c r="B603" s="74" t="s">
        <v>1516</v>
      </c>
      <c r="C603" s="74" t="s">
        <v>1641</v>
      </c>
      <c r="D603" s="78" t="s">
        <v>1411</v>
      </c>
      <c r="E603" s="74"/>
      <c r="F603" s="72" t="s">
        <v>8</v>
      </c>
      <c r="G603" s="74"/>
      <c r="H603" s="74"/>
      <c r="I603" s="74"/>
    </row>
    <row r="604">
      <c r="A604" s="66" t="s">
        <v>70</v>
      </c>
      <c r="B604" s="91"/>
      <c r="C604" s="91"/>
      <c r="D604" s="67"/>
      <c r="E604" s="79"/>
      <c r="F604" s="79"/>
      <c r="G604" s="80"/>
      <c r="H604" s="80"/>
      <c r="I604" s="80"/>
    </row>
    <row r="605">
      <c r="A605" s="77">
        <v>1.0</v>
      </c>
      <c r="B605" s="78" t="s">
        <v>1642</v>
      </c>
      <c r="C605" s="78" t="s">
        <v>1643</v>
      </c>
      <c r="D605" s="78" t="s">
        <v>1644</v>
      </c>
      <c r="E605" s="78"/>
      <c r="F605" s="72" t="s">
        <v>8</v>
      </c>
      <c r="G605" s="78"/>
      <c r="H605" s="78"/>
      <c r="I605" s="78"/>
    </row>
    <row r="606">
      <c r="A606" s="77">
        <v>2.0</v>
      </c>
      <c r="B606" s="74" t="s">
        <v>1645</v>
      </c>
      <c r="C606" s="74" t="s">
        <v>1646</v>
      </c>
      <c r="D606" s="74" t="s">
        <v>1647</v>
      </c>
      <c r="E606" s="78"/>
      <c r="F606" s="72" t="s">
        <v>8</v>
      </c>
      <c r="G606" s="78"/>
      <c r="H606" s="78"/>
      <c r="I606" s="78"/>
    </row>
    <row r="607">
      <c r="A607" s="77">
        <v>3.0</v>
      </c>
      <c r="B607" s="74" t="s">
        <v>1435</v>
      </c>
      <c r="C607" s="74" t="s">
        <v>1007</v>
      </c>
      <c r="D607" s="74" t="s">
        <v>374</v>
      </c>
      <c r="E607" s="74"/>
      <c r="F607" s="72" t="s">
        <v>8</v>
      </c>
      <c r="G607" s="74"/>
      <c r="H607" s="74"/>
      <c r="I607" s="74"/>
    </row>
    <row r="608">
      <c r="A608" s="77">
        <v>4.0</v>
      </c>
      <c r="B608" s="78" t="s">
        <v>1648</v>
      </c>
      <c r="C608" s="78" t="s">
        <v>1649</v>
      </c>
      <c r="D608" s="78" t="s">
        <v>374</v>
      </c>
      <c r="E608" s="74"/>
      <c r="F608" s="72" t="s">
        <v>8</v>
      </c>
      <c r="G608" s="74"/>
      <c r="H608" s="74"/>
      <c r="I608" s="74"/>
    </row>
    <row r="609">
      <c r="A609" s="77">
        <v>5.0</v>
      </c>
      <c r="B609" s="78" t="s">
        <v>1650</v>
      </c>
      <c r="C609" s="78" t="s">
        <v>1651</v>
      </c>
      <c r="D609" s="78" t="s">
        <v>374</v>
      </c>
      <c r="E609" s="74"/>
      <c r="F609" s="72" t="s">
        <v>8</v>
      </c>
      <c r="G609" s="74"/>
      <c r="H609" s="74"/>
      <c r="I609" s="74"/>
    </row>
    <row r="610">
      <c r="A610" s="77">
        <v>6.0</v>
      </c>
      <c r="B610" s="78" t="s">
        <v>1652</v>
      </c>
      <c r="C610" s="78" t="s">
        <v>1653</v>
      </c>
      <c r="D610" s="78" t="s">
        <v>1654</v>
      </c>
      <c r="E610" s="74"/>
      <c r="F610" s="72" t="s">
        <v>8</v>
      </c>
      <c r="G610" s="74"/>
      <c r="H610" s="74"/>
      <c r="I610" s="74"/>
    </row>
    <row r="611">
      <c r="A611" s="77">
        <v>7.0</v>
      </c>
      <c r="B611" s="74" t="s">
        <v>1655</v>
      </c>
      <c r="C611" s="74" t="s">
        <v>1656</v>
      </c>
      <c r="D611" s="78" t="s">
        <v>1657</v>
      </c>
      <c r="E611" s="74"/>
      <c r="F611" s="72" t="s">
        <v>8</v>
      </c>
      <c r="G611" s="74"/>
      <c r="H611" s="74"/>
      <c r="I611" s="74"/>
    </row>
    <row r="612">
      <c r="A612" s="77">
        <v>8.0</v>
      </c>
      <c r="B612" s="74" t="s">
        <v>1658</v>
      </c>
      <c r="C612" s="74" t="s">
        <v>1659</v>
      </c>
      <c r="D612" s="78" t="s">
        <v>1660</v>
      </c>
      <c r="E612" s="74"/>
      <c r="F612" s="72" t="s">
        <v>8</v>
      </c>
      <c r="G612" s="74"/>
      <c r="H612" s="74"/>
      <c r="I612" s="74"/>
    </row>
    <row r="613">
      <c r="A613" s="77">
        <v>9.0</v>
      </c>
      <c r="B613" s="74" t="s">
        <v>1661</v>
      </c>
      <c r="C613" s="74" t="s">
        <v>1662</v>
      </c>
      <c r="D613" s="78" t="s">
        <v>374</v>
      </c>
      <c r="E613" s="74"/>
      <c r="F613" s="72" t="s">
        <v>8</v>
      </c>
      <c r="G613" s="74"/>
      <c r="H613" s="74"/>
      <c r="I613" s="74"/>
    </row>
    <row r="614">
      <c r="A614" s="77">
        <v>10.0</v>
      </c>
      <c r="B614" s="78" t="s">
        <v>1663</v>
      </c>
      <c r="C614" s="78" t="s">
        <v>1664</v>
      </c>
      <c r="D614" s="78" t="s">
        <v>374</v>
      </c>
      <c r="E614" s="74"/>
      <c r="F614" s="72" t="s">
        <v>8</v>
      </c>
      <c r="G614" s="74"/>
      <c r="H614" s="74"/>
      <c r="I614" s="74"/>
    </row>
    <row r="615">
      <c r="A615" s="77">
        <v>11.0</v>
      </c>
      <c r="B615" s="74" t="s">
        <v>1665</v>
      </c>
      <c r="C615" s="74" t="s">
        <v>1666</v>
      </c>
      <c r="D615" s="78" t="s">
        <v>1443</v>
      </c>
      <c r="E615" s="74"/>
      <c r="F615" s="72" t="s">
        <v>8</v>
      </c>
      <c r="G615" s="74"/>
      <c r="H615" s="74"/>
      <c r="I615" s="74"/>
    </row>
    <row r="616">
      <c r="A616" s="77">
        <v>12.0</v>
      </c>
      <c r="B616" s="78" t="s">
        <v>1472</v>
      </c>
      <c r="C616" s="78" t="s">
        <v>1552</v>
      </c>
      <c r="D616" s="78" t="s">
        <v>1667</v>
      </c>
      <c r="E616" s="78"/>
      <c r="F616" s="72" t="s">
        <v>8</v>
      </c>
      <c r="G616" s="78"/>
      <c r="H616" s="78"/>
      <c r="I616" s="78"/>
    </row>
    <row r="617">
      <c r="A617" s="77">
        <v>13.0</v>
      </c>
      <c r="B617" s="78" t="s">
        <v>1668</v>
      </c>
      <c r="C617" s="78" t="s">
        <v>1669</v>
      </c>
      <c r="D617" s="78" t="s">
        <v>1623</v>
      </c>
      <c r="E617" s="78"/>
      <c r="F617" s="72" t="s">
        <v>8</v>
      </c>
      <c r="G617" s="78"/>
      <c r="H617" s="78"/>
      <c r="I617" s="78"/>
    </row>
    <row r="618">
      <c r="A618" s="77">
        <v>14.0</v>
      </c>
      <c r="B618" s="74" t="s">
        <v>1670</v>
      </c>
      <c r="C618" s="74" t="s">
        <v>1671</v>
      </c>
      <c r="D618" s="78" t="s">
        <v>374</v>
      </c>
      <c r="E618" s="74"/>
      <c r="F618" s="72" t="s">
        <v>8</v>
      </c>
      <c r="G618" s="74"/>
      <c r="H618" s="74"/>
      <c r="I618" s="74"/>
    </row>
    <row r="619">
      <c r="A619" s="77">
        <v>15.0</v>
      </c>
      <c r="B619" s="74" t="s">
        <v>1672</v>
      </c>
      <c r="C619" s="74" t="s">
        <v>1673</v>
      </c>
      <c r="D619" s="78" t="s">
        <v>1674</v>
      </c>
      <c r="E619" s="74"/>
      <c r="F619" s="72" t="s">
        <v>8</v>
      </c>
      <c r="G619" s="74"/>
      <c r="H619" s="74"/>
      <c r="I619" s="74"/>
    </row>
    <row r="620">
      <c r="A620" s="77">
        <v>16.0</v>
      </c>
      <c r="B620" s="78" t="s">
        <v>1675</v>
      </c>
      <c r="C620" s="78" t="s">
        <v>1676</v>
      </c>
      <c r="D620" s="78" t="s">
        <v>1627</v>
      </c>
      <c r="E620" s="78"/>
      <c r="F620" s="72" t="s">
        <v>8</v>
      </c>
      <c r="G620" s="78"/>
      <c r="H620" s="78"/>
      <c r="I620" s="78"/>
    </row>
    <row r="621">
      <c r="A621" s="77">
        <v>17.0</v>
      </c>
      <c r="B621" s="78" t="s">
        <v>1677</v>
      </c>
      <c r="C621" s="78" t="s">
        <v>1678</v>
      </c>
      <c r="D621" s="78" t="s">
        <v>1679</v>
      </c>
      <c r="E621" s="78"/>
      <c r="F621" s="72" t="s">
        <v>8</v>
      </c>
      <c r="G621" s="78"/>
      <c r="H621" s="78"/>
      <c r="I621" s="78"/>
    </row>
    <row r="622">
      <c r="A622" s="77">
        <v>18.0</v>
      </c>
      <c r="B622" s="74" t="s">
        <v>1502</v>
      </c>
      <c r="C622" s="74" t="s">
        <v>1503</v>
      </c>
      <c r="D622" s="74" t="s">
        <v>1283</v>
      </c>
      <c r="E622" s="74"/>
      <c r="F622" s="72" t="s">
        <v>8</v>
      </c>
      <c r="G622" s="74"/>
      <c r="H622" s="74"/>
      <c r="I622" s="74"/>
    </row>
    <row r="623">
      <c r="A623" s="77">
        <v>19.0</v>
      </c>
      <c r="B623" s="74" t="s">
        <v>1680</v>
      </c>
      <c r="C623" s="74" t="s">
        <v>1681</v>
      </c>
      <c r="D623" s="74" t="s">
        <v>1501</v>
      </c>
      <c r="E623" s="74"/>
      <c r="F623" s="72" t="s">
        <v>8</v>
      </c>
      <c r="G623" s="74"/>
      <c r="H623" s="74"/>
      <c r="I623" s="74"/>
    </row>
    <row r="624">
      <c r="A624" s="77">
        <v>20.0</v>
      </c>
      <c r="B624" s="78" t="s">
        <v>1682</v>
      </c>
      <c r="C624" s="78" t="s">
        <v>1683</v>
      </c>
      <c r="D624" s="78" t="s">
        <v>1567</v>
      </c>
      <c r="E624" s="78"/>
      <c r="F624" s="72" t="s">
        <v>8</v>
      </c>
      <c r="G624" s="78"/>
      <c r="H624" s="78"/>
      <c r="I624" s="78"/>
    </row>
    <row r="625">
      <c r="A625" s="77">
        <v>21.0</v>
      </c>
      <c r="B625" s="74" t="s">
        <v>682</v>
      </c>
      <c r="C625" s="74" t="s">
        <v>731</v>
      </c>
      <c r="D625" s="78" t="s">
        <v>1188</v>
      </c>
      <c r="E625" s="74"/>
      <c r="F625" s="72" t="s">
        <v>8</v>
      </c>
      <c r="G625" s="74"/>
      <c r="H625" s="74"/>
      <c r="I625" s="74"/>
    </row>
    <row r="626">
      <c r="A626" s="77">
        <v>22.0</v>
      </c>
      <c r="B626" s="78" t="s">
        <v>1568</v>
      </c>
      <c r="C626" s="78" t="s">
        <v>1569</v>
      </c>
      <c r="D626" s="78" t="s">
        <v>1188</v>
      </c>
      <c r="E626" s="78"/>
      <c r="F626" s="72" t="s">
        <v>8</v>
      </c>
      <c r="G626" s="78"/>
      <c r="H626" s="78"/>
      <c r="I626" s="78"/>
    </row>
    <row r="627">
      <c r="A627" s="77">
        <v>23.0</v>
      </c>
      <c r="B627" s="74" t="s">
        <v>1684</v>
      </c>
      <c r="C627" s="74" t="s">
        <v>1685</v>
      </c>
      <c r="D627" s="78" t="s">
        <v>1188</v>
      </c>
      <c r="E627" s="74"/>
      <c r="F627" s="72" t="s">
        <v>8</v>
      </c>
      <c r="G627" s="74"/>
      <c r="H627" s="74"/>
      <c r="I627" s="74"/>
    </row>
    <row r="628">
      <c r="A628" s="77">
        <v>24.0</v>
      </c>
      <c r="B628" s="74" t="s">
        <v>735</v>
      </c>
      <c r="C628" s="74" t="s">
        <v>1513</v>
      </c>
      <c r="D628" s="74" t="s">
        <v>1188</v>
      </c>
      <c r="E628" s="74"/>
      <c r="F628" s="72" t="s">
        <v>8</v>
      </c>
      <c r="G628" s="74"/>
      <c r="H628" s="74"/>
      <c r="I628" s="74"/>
    </row>
    <row r="629">
      <c r="A629" s="77">
        <v>25.0</v>
      </c>
      <c r="B629" s="78" t="s">
        <v>570</v>
      </c>
      <c r="C629" s="78" t="s">
        <v>1686</v>
      </c>
      <c r="D629" s="78" t="s">
        <v>572</v>
      </c>
      <c r="E629" s="78"/>
      <c r="F629" s="95" t="s">
        <v>8</v>
      </c>
      <c r="G629" s="78"/>
      <c r="H629" s="78"/>
      <c r="I629" s="78"/>
    </row>
    <row r="630" hidden="1">
      <c r="A630" s="99"/>
      <c r="B630" s="67"/>
      <c r="C630" s="100"/>
      <c r="D630" s="100"/>
      <c r="E630" s="100"/>
      <c r="F630" s="100"/>
      <c r="G630" s="100"/>
      <c r="H630" s="94"/>
      <c r="I630" s="94"/>
    </row>
    <row r="631" hidden="1">
      <c r="A631" s="77"/>
      <c r="B631" s="74"/>
      <c r="C631" s="88"/>
      <c r="D631" s="74" t="s">
        <v>1687</v>
      </c>
      <c r="E631" s="78"/>
      <c r="F631" s="86" t="s">
        <v>1037</v>
      </c>
      <c r="G631" s="78"/>
      <c r="H631" s="74"/>
      <c r="I631" s="74"/>
    </row>
    <row r="632" hidden="1">
      <c r="A632" s="77"/>
      <c r="B632" s="74"/>
      <c r="C632" s="88"/>
      <c r="D632" s="74" t="s">
        <v>1688</v>
      </c>
      <c r="E632" s="78"/>
      <c r="F632" s="86" t="s">
        <v>1037</v>
      </c>
      <c r="G632" s="78"/>
      <c r="H632" s="100"/>
      <c r="I632" s="100"/>
    </row>
    <row r="633" hidden="1">
      <c r="A633" s="77"/>
      <c r="B633" s="74"/>
      <c r="C633" s="88"/>
      <c r="D633" s="74" t="s">
        <v>1689</v>
      </c>
      <c r="E633" s="78"/>
      <c r="F633" s="86" t="s">
        <v>1037</v>
      </c>
      <c r="G633" s="78"/>
      <c r="H633" s="78"/>
      <c r="I633" s="78"/>
    </row>
    <row r="634" hidden="1">
      <c r="A634" s="77"/>
      <c r="B634" s="74"/>
      <c r="C634" s="88"/>
      <c r="D634" s="74" t="s">
        <v>1690</v>
      </c>
      <c r="E634" s="78"/>
      <c r="F634" s="86" t="s">
        <v>1037</v>
      </c>
      <c r="G634" s="78"/>
      <c r="H634" s="78"/>
      <c r="I634" s="78"/>
    </row>
    <row r="635" hidden="1">
      <c r="A635" s="77"/>
      <c r="B635" s="74"/>
      <c r="C635" s="88"/>
      <c r="D635" s="74" t="s">
        <v>1691</v>
      </c>
      <c r="E635" s="78"/>
      <c r="F635" s="86" t="s">
        <v>1037</v>
      </c>
      <c r="G635" s="78"/>
      <c r="H635" s="78"/>
      <c r="I635" s="78"/>
    </row>
    <row r="636" hidden="1">
      <c r="A636" s="77"/>
      <c r="B636" s="74"/>
      <c r="C636" s="88"/>
      <c r="D636" s="74" t="s">
        <v>1692</v>
      </c>
      <c r="E636" s="78"/>
      <c r="F636" s="86" t="s">
        <v>1037</v>
      </c>
      <c r="G636" s="78"/>
      <c r="H636" s="78"/>
      <c r="I636" s="78"/>
    </row>
    <row r="637" hidden="1">
      <c r="A637" s="77"/>
      <c r="B637" s="74"/>
      <c r="C637" s="88"/>
      <c r="D637" s="74" t="s">
        <v>1692</v>
      </c>
      <c r="E637" s="78"/>
      <c r="F637" s="86" t="s">
        <v>1037</v>
      </c>
      <c r="G637" s="78"/>
      <c r="H637" s="78"/>
      <c r="I637" s="78"/>
    </row>
    <row r="638" hidden="1">
      <c r="A638" s="77"/>
      <c r="B638" s="74"/>
      <c r="C638" s="88"/>
      <c r="D638" s="74" t="s">
        <v>1693</v>
      </c>
      <c r="E638" s="78"/>
      <c r="F638" s="86" t="s">
        <v>1037</v>
      </c>
      <c r="G638" s="78"/>
      <c r="H638" s="78"/>
      <c r="I638" s="78"/>
    </row>
    <row r="639" hidden="1">
      <c r="A639" s="77"/>
      <c r="B639" s="74"/>
      <c r="C639" s="88"/>
      <c r="D639" s="74" t="s">
        <v>1694</v>
      </c>
      <c r="E639" s="78"/>
      <c r="F639" s="86" t="s">
        <v>1037</v>
      </c>
      <c r="G639" s="78"/>
      <c r="H639" s="78"/>
      <c r="I639" s="78"/>
    </row>
  </sheetData>
  <mergeCells count="32">
    <mergeCell ref="A4:B4"/>
    <mergeCell ref="A12:B12"/>
    <mergeCell ref="A17:B17"/>
    <mergeCell ref="A43:B43"/>
    <mergeCell ref="A54:B54"/>
    <mergeCell ref="A62:B62"/>
    <mergeCell ref="A71:B71"/>
    <mergeCell ref="A83:B83"/>
    <mergeCell ref="A110:B110"/>
    <mergeCell ref="A133:B133"/>
    <mergeCell ref="A148:D148"/>
    <mergeCell ref="A164:D164"/>
    <mergeCell ref="A176:D176"/>
    <mergeCell ref="A206:D206"/>
    <mergeCell ref="A224:D224"/>
    <mergeCell ref="A237:D237"/>
    <mergeCell ref="A287:D287"/>
    <mergeCell ref="A301:D301"/>
    <mergeCell ref="A315:B315"/>
    <mergeCell ref="A322:B322"/>
    <mergeCell ref="A324:D324"/>
    <mergeCell ref="A527:D527"/>
    <mergeCell ref="A568:D568"/>
    <mergeCell ref="A604:D604"/>
    <mergeCell ref="A630:B630"/>
    <mergeCell ref="A361:D361"/>
    <mergeCell ref="A383:B383"/>
    <mergeCell ref="A395:B395"/>
    <mergeCell ref="A414:B414"/>
    <mergeCell ref="A429:B429"/>
    <mergeCell ref="A442:B442"/>
    <mergeCell ref="A489:D489"/>
  </mergeCells>
  <conditionalFormatting sqref="F111:F147">
    <cfRule type="containsText" dxfId="0" priority="1" operator="containsText" text="RE-TEST">
      <formula>NOT(ISERROR(SEARCH(("RE-TEST"),(F111))))</formula>
    </cfRule>
  </conditionalFormatting>
  <conditionalFormatting sqref="F111:F147">
    <cfRule type="containsText" dxfId="1" priority="2" operator="containsText" text="FAILED">
      <formula>NOT(ISERROR(SEARCH(("FAILED"),(F111))))</formula>
    </cfRule>
  </conditionalFormatting>
  <conditionalFormatting sqref="F111:F147">
    <cfRule type="containsText" dxfId="2" priority="3" operator="containsText" text="PASSED">
      <formula>NOT(ISERROR(SEARCH(("PASSED"),(F111))))</formula>
    </cfRule>
  </conditionalFormatting>
  <conditionalFormatting sqref="F111:F147">
    <cfRule type="containsText" dxfId="3" priority="4" operator="containsText" text="NOT YET STARTED">
      <formula>NOT(ISERROR(SEARCH(("NOT YET STARTED"),(F111))))</formula>
    </cfRule>
  </conditionalFormatting>
  <conditionalFormatting sqref="F5:F11 F13:F16 F18:F42 F44:F639">
    <cfRule type="containsText" dxfId="3" priority="5" operator="containsText" text="NOT YET STARTED">
      <formula>NOT(ISERROR(SEARCH(("NOT YET STARTED"),(F5))))</formula>
    </cfRule>
  </conditionalFormatting>
  <conditionalFormatting sqref="F5:F11 F13:F16 F18:F42 F44:F639">
    <cfRule type="containsText" dxfId="2" priority="6" operator="containsText" text="PASSED">
      <formula>NOT(ISERROR(SEARCH(("PASSED"),(F5))))</formula>
    </cfRule>
  </conditionalFormatting>
  <conditionalFormatting sqref="F5:F11 F13:F16 F18:F42 F44:F639">
    <cfRule type="containsText" dxfId="1" priority="7" operator="containsText" text="FAILED">
      <formula>NOT(ISERROR(SEARCH(("FAILED"),(F5))))</formula>
    </cfRule>
  </conditionalFormatting>
  <conditionalFormatting sqref="F5:F11 F13:F16 F18:F42 F44:F639">
    <cfRule type="containsText" dxfId="0" priority="8" operator="containsText" text="RE-TEST">
      <formula>NOT(ISERROR(SEARCH(("RE-TEST"),(F5))))</formula>
    </cfRule>
  </conditionalFormatting>
  <dataValidations>
    <dataValidation type="list" allowBlank="1" showErrorMessage="1" sqref="F5:F11 F13:F16 F18:F42 F44:F53 F55:F61 F63:F70 F72:F82 F84:F109 F111:F132 F134:F147 F149:F163 F165:F175 F177:F205 F207:F223 F225:F236 F238:F286 F288:F300 F302:F314 F325:F360 F362:F382 F384:F394 F396:F413 F415:F428 F430:F441 F443:F488 F490:F526 F528:F567 F569:F603 F605:F629">
      <formula1>"Not Started,Passed,Failed,Re-Test,Blocked/Skip"</formula1>
    </dataValidation>
  </dataValidations>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88"/>
    <col customWidth="1" min="2" max="2" width="32.25"/>
    <col customWidth="1" min="3" max="3" width="38.5"/>
    <col customWidth="1" min="4" max="4" width="33.38"/>
    <col customWidth="1" min="5" max="5" width="30.38"/>
    <col customWidth="1" min="6" max="6" width="16.63"/>
    <col customWidth="1" min="7" max="7" width="17.63"/>
    <col customWidth="1" min="8" max="9" width="26.25"/>
  </cols>
  <sheetData>
    <row r="1" ht="14.25" customHeight="1">
      <c r="A1" s="58"/>
      <c r="B1" s="59"/>
      <c r="C1" s="59"/>
      <c r="D1" s="59"/>
      <c r="E1" s="59"/>
      <c r="F1" s="59"/>
      <c r="G1" s="58"/>
      <c r="H1" s="58"/>
      <c r="I1" s="58"/>
    </row>
    <row r="2" ht="39.0" customHeight="1">
      <c r="A2" s="60" t="s">
        <v>212</v>
      </c>
      <c r="B2" s="60" t="s">
        <v>213</v>
      </c>
      <c r="C2" s="60" t="s">
        <v>214</v>
      </c>
      <c r="D2" s="60" t="s">
        <v>215</v>
      </c>
      <c r="E2" s="60" t="s">
        <v>216</v>
      </c>
      <c r="F2" s="60" t="s">
        <v>217</v>
      </c>
      <c r="G2" s="60" t="s">
        <v>218</v>
      </c>
      <c r="H2" s="60" t="s">
        <v>219</v>
      </c>
      <c r="I2" s="60"/>
    </row>
    <row r="3" ht="15.75" customHeight="1">
      <c r="A3" s="61" t="s">
        <v>12</v>
      </c>
      <c r="B3" s="62"/>
      <c r="C3" s="63"/>
      <c r="D3" s="63"/>
      <c r="E3" s="63"/>
      <c r="F3" s="64"/>
      <c r="G3" s="65"/>
      <c r="H3" s="65"/>
      <c r="I3" s="65"/>
    </row>
    <row r="4" ht="15.75" customHeight="1">
      <c r="A4" s="66" t="s">
        <v>15</v>
      </c>
      <c r="B4" s="91"/>
      <c r="C4" s="91"/>
      <c r="D4" s="91"/>
      <c r="E4" s="91"/>
      <c r="F4" s="91"/>
      <c r="G4" s="91"/>
      <c r="H4" s="67"/>
      <c r="I4" s="101"/>
    </row>
    <row r="5">
      <c r="A5" s="77">
        <v>1.0</v>
      </c>
      <c r="B5" s="74" t="s">
        <v>1695</v>
      </c>
      <c r="C5" s="74" t="s">
        <v>1696</v>
      </c>
      <c r="D5" s="74" t="s">
        <v>1697</v>
      </c>
      <c r="E5" s="74"/>
      <c r="F5" s="72" t="s">
        <v>8</v>
      </c>
      <c r="G5" s="74"/>
      <c r="H5" s="74"/>
      <c r="I5" s="74"/>
    </row>
    <row r="6">
      <c r="A6" s="77">
        <v>2.0</v>
      </c>
      <c r="B6" s="74" t="s">
        <v>1698</v>
      </c>
      <c r="C6" s="74" t="s">
        <v>1699</v>
      </c>
      <c r="D6" s="74" t="s">
        <v>1700</v>
      </c>
      <c r="E6" s="74"/>
      <c r="F6" s="72" t="s">
        <v>8</v>
      </c>
      <c r="G6" s="74"/>
      <c r="H6" s="74"/>
      <c r="I6" s="74"/>
    </row>
    <row r="7">
      <c r="A7" s="77">
        <v>3.0</v>
      </c>
      <c r="B7" s="74" t="s">
        <v>1435</v>
      </c>
      <c r="C7" s="74" t="s">
        <v>1007</v>
      </c>
      <c r="D7" s="74" t="s">
        <v>374</v>
      </c>
      <c r="E7" s="74"/>
      <c r="F7" s="72" t="s">
        <v>8</v>
      </c>
      <c r="G7" s="74"/>
      <c r="H7" s="74"/>
      <c r="I7" s="74"/>
    </row>
    <row r="8">
      <c r="A8" s="77">
        <v>4.0</v>
      </c>
      <c r="B8" s="74" t="s">
        <v>1701</v>
      </c>
      <c r="C8" s="74" t="s">
        <v>1702</v>
      </c>
      <c r="D8" s="74" t="s">
        <v>374</v>
      </c>
      <c r="E8" s="74"/>
      <c r="F8" s="72" t="s">
        <v>8</v>
      </c>
      <c r="G8" s="74"/>
      <c r="H8" s="74"/>
      <c r="I8" s="74"/>
    </row>
    <row r="9">
      <c r="A9" s="77">
        <v>5.0</v>
      </c>
      <c r="B9" s="74" t="s">
        <v>1703</v>
      </c>
      <c r="C9" s="74" t="s">
        <v>1704</v>
      </c>
      <c r="D9" s="74" t="s">
        <v>1705</v>
      </c>
      <c r="E9" s="74"/>
      <c r="F9" s="72" t="s">
        <v>8</v>
      </c>
      <c r="G9" s="74"/>
      <c r="H9" s="74"/>
      <c r="I9" s="74"/>
    </row>
    <row r="10">
      <c r="A10" s="77">
        <v>6.0</v>
      </c>
      <c r="B10" s="74" t="s">
        <v>1447</v>
      </c>
      <c r="C10" s="74" t="s">
        <v>1662</v>
      </c>
      <c r="D10" s="74" t="s">
        <v>374</v>
      </c>
      <c r="E10" s="74"/>
      <c r="F10" s="72" t="s">
        <v>8</v>
      </c>
      <c r="G10" s="74"/>
      <c r="H10" s="74"/>
      <c r="I10" s="74"/>
    </row>
    <row r="11">
      <c r="A11" s="77">
        <v>7.0</v>
      </c>
      <c r="B11" s="74" t="s">
        <v>1449</v>
      </c>
      <c r="C11" s="74" t="s">
        <v>1664</v>
      </c>
      <c r="D11" s="74" t="s">
        <v>374</v>
      </c>
      <c r="E11" s="74"/>
      <c r="F11" s="72" t="s">
        <v>8</v>
      </c>
      <c r="G11" s="74"/>
      <c r="H11" s="74"/>
      <c r="I11" s="74"/>
    </row>
    <row r="12">
      <c r="A12" s="77">
        <v>8.0</v>
      </c>
      <c r="B12" s="74" t="s">
        <v>1444</v>
      </c>
      <c r="C12" s="74" t="s">
        <v>1607</v>
      </c>
      <c r="D12" s="74" t="s">
        <v>1706</v>
      </c>
      <c r="E12" s="74"/>
      <c r="F12" s="72" t="s">
        <v>8</v>
      </c>
      <c r="G12" s="74"/>
      <c r="H12" s="74"/>
      <c r="I12" s="74"/>
    </row>
    <row r="13">
      <c r="A13" s="77">
        <v>9.0</v>
      </c>
      <c r="B13" s="74" t="s">
        <v>1451</v>
      </c>
      <c r="C13" s="74" t="s">
        <v>1452</v>
      </c>
      <c r="D13" s="74" t="s">
        <v>1707</v>
      </c>
      <c r="E13" s="74"/>
      <c r="F13" s="72" t="s">
        <v>8</v>
      </c>
      <c r="G13" s="74"/>
      <c r="H13" s="74"/>
      <c r="I13" s="74"/>
    </row>
    <row r="14">
      <c r="A14" s="77">
        <v>10.0</v>
      </c>
      <c r="B14" s="74" t="s">
        <v>1454</v>
      </c>
      <c r="C14" s="74" t="s">
        <v>1455</v>
      </c>
      <c r="D14" s="74" t="s">
        <v>1707</v>
      </c>
      <c r="E14" s="74"/>
      <c r="F14" s="72" t="s">
        <v>8</v>
      </c>
      <c r="G14" s="74"/>
      <c r="H14" s="74"/>
      <c r="I14" s="74"/>
    </row>
    <row r="15">
      <c r="A15" s="77">
        <v>11.0</v>
      </c>
      <c r="B15" s="74" t="s">
        <v>1463</v>
      </c>
      <c r="C15" s="74" t="s">
        <v>1464</v>
      </c>
      <c r="D15" s="74" t="s">
        <v>1708</v>
      </c>
      <c r="E15" s="74"/>
      <c r="F15" s="72" t="s">
        <v>8</v>
      </c>
      <c r="G15" s="74"/>
      <c r="H15" s="74"/>
      <c r="I15" s="74"/>
    </row>
    <row r="16">
      <c r="A16" s="77">
        <v>12.0</v>
      </c>
      <c r="B16" s="74" t="s">
        <v>1709</v>
      </c>
      <c r="C16" s="74" t="s">
        <v>1710</v>
      </c>
      <c r="D16" s="74" t="s">
        <v>1711</v>
      </c>
      <c r="E16" s="74"/>
      <c r="F16" s="72" t="s">
        <v>8</v>
      </c>
      <c r="G16" s="74"/>
      <c r="H16" s="74"/>
      <c r="I16" s="74"/>
    </row>
    <row r="17">
      <c r="A17" s="77">
        <v>13.0</v>
      </c>
      <c r="B17" s="74" t="s">
        <v>1712</v>
      </c>
      <c r="C17" s="74" t="s">
        <v>1656</v>
      </c>
      <c r="D17" s="74" t="s">
        <v>1713</v>
      </c>
      <c r="E17" s="74"/>
      <c r="F17" s="72" t="s">
        <v>8</v>
      </c>
      <c r="G17" s="74"/>
      <c r="H17" s="74"/>
      <c r="I17" s="74"/>
    </row>
    <row r="18">
      <c r="A18" s="77">
        <v>14.0</v>
      </c>
      <c r="B18" s="74" t="s">
        <v>1658</v>
      </c>
      <c r="C18" s="74" t="s">
        <v>1659</v>
      </c>
      <c r="D18" s="74" t="s">
        <v>1660</v>
      </c>
      <c r="E18" s="74"/>
      <c r="F18" s="72" t="s">
        <v>8</v>
      </c>
      <c r="G18" s="74"/>
      <c r="H18" s="74"/>
      <c r="I18" s="74"/>
    </row>
    <row r="19">
      <c r="A19" s="77">
        <v>15.0</v>
      </c>
      <c r="B19" s="74" t="s">
        <v>1714</v>
      </c>
      <c r="C19" s="74" t="s">
        <v>1715</v>
      </c>
      <c r="D19" s="74" t="s">
        <v>1716</v>
      </c>
      <c r="E19" s="74"/>
      <c r="F19" s="72" t="s">
        <v>8</v>
      </c>
      <c r="G19" s="74"/>
      <c r="H19" s="74"/>
      <c r="I19" s="74"/>
    </row>
    <row r="20">
      <c r="A20" s="77">
        <v>16.0</v>
      </c>
      <c r="B20" s="74" t="s">
        <v>1717</v>
      </c>
      <c r="C20" s="74" t="s">
        <v>1626</v>
      </c>
      <c r="D20" s="74" t="s">
        <v>1627</v>
      </c>
      <c r="E20" s="74"/>
      <c r="F20" s="72" t="s">
        <v>8</v>
      </c>
      <c r="G20" s="74"/>
      <c r="H20" s="74"/>
      <c r="I20" s="74"/>
    </row>
    <row r="21">
      <c r="A21" s="77">
        <v>17.0</v>
      </c>
      <c r="B21" s="74" t="s">
        <v>1359</v>
      </c>
      <c r="C21" s="74" t="s">
        <v>1360</v>
      </c>
      <c r="D21" s="74" t="s">
        <v>1718</v>
      </c>
      <c r="E21" s="74"/>
      <c r="F21" s="72" t="s">
        <v>8</v>
      </c>
      <c r="G21" s="74"/>
      <c r="H21" s="74"/>
      <c r="I21" s="74"/>
    </row>
    <row r="22">
      <c r="A22" s="77">
        <v>18.0</v>
      </c>
      <c r="B22" s="74" t="s">
        <v>1719</v>
      </c>
      <c r="C22" s="74" t="s">
        <v>1720</v>
      </c>
      <c r="D22" s="74" t="s">
        <v>1721</v>
      </c>
      <c r="E22" s="74"/>
      <c r="F22" s="72" t="s">
        <v>8</v>
      </c>
      <c r="G22" s="74"/>
      <c r="H22" s="74"/>
      <c r="I22" s="74"/>
    </row>
    <row r="23">
      <c r="A23" s="77">
        <v>19.0</v>
      </c>
      <c r="B23" s="74" t="s">
        <v>1722</v>
      </c>
      <c r="C23" s="74" t="s">
        <v>1503</v>
      </c>
      <c r="D23" s="74" t="s">
        <v>1283</v>
      </c>
      <c r="E23" s="74"/>
      <c r="F23" s="72" t="s">
        <v>8</v>
      </c>
      <c r="G23" s="74"/>
      <c r="H23" s="74"/>
      <c r="I23" s="74"/>
    </row>
    <row r="24">
      <c r="A24" s="77">
        <v>20.0</v>
      </c>
      <c r="B24" s="74" t="s">
        <v>1723</v>
      </c>
      <c r="C24" s="74" t="s">
        <v>1724</v>
      </c>
      <c r="D24" s="74" t="s">
        <v>1501</v>
      </c>
      <c r="E24" s="74"/>
      <c r="F24" s="72" t="s">
        <v>8</v>
      </c>
      <c r="G24" s="74"/>
      <c r="H24" s="74"/>
      <c r="I24" s="74"/>
    </row>
    <row r="25">
      <c r="A25" s="77">
        <v>21.0</v>
      </c>
      <c r="B25" s="74" t="s">
        <v>1725</v>
      </c>
      <c r="C25" s="74" t="s">
        <v>1683</v>
      </c>
      <c r="D25" s="74" t="s">
        <v>1567</v>
      </c>
      <c r="E25" s="74"/>
      <c r="F25" s="72" t="s">
        <v>8</v>
      </c>
      <c r="G25" s="74"/>
      <c r="H25" s="74"/>
      <c r="I25" s="74"/>
    </row>
    <row r="26">
      <c r="A26" s="77">
        <v>22.0</v>
      </c>
      <c r="B26" s="74" t="s">
        <v>682</v>
      </c>
      <c r="C26" s="74" t="s">
        <v>731</v>
      </c>
      <c r="D26" s="74" t="s">
        <v>1188</v>
      </c>
      <c r="E26" s="74"/>
      <c r="F26" s="72" t="s">
        <v>8</v>
      </c>
      <c r="G26" s="74"/>
      <c r="H26" s="74"/>
      <c r="I26" s="74"/>
    </row>
    <row r="27">
      <c r="A27" s="77">
        <v>23.0</v>
      </c>
      <c r="B27" s="74" t="s">
        <v>735</v>
      </c>
      <c r="C27" s="74" t="s">
        <v>1513</v>
      </c>
      <c r="D27" s="74" t="s">
        <v>1188</v>
      </c>
      <c r="E27" s="74"/>
      <c r="F27" s="72" t="s">
        <v>8</v>
      </c>
      <c r="G27" s="74"/>
      <c r="H27" s="74"/>
      <c r="I27" s="74"/>
    </row>
    <row r="28">
      <c r="A28" s="77">
        <v>24.0</v>
      </c>
      <c r="B28" s="78" t="s">
        <v>1726</v>
      </c>
      <c r="C28" s="78" t="s">
        <v>1727</v>
      </c>
      <c r="D28" s="78" t="s">
        <v>1728</v>
      </c>
      <c r="E28" s="74"/>
      <c r="F28" s="72" t="s">
        <v>8</v>
      </c>
      <c r="G28" s="74"/>
      <c r="H28" s="74"/>
      <c r="I28" s="74"/>
    </row>
    <row r="29" ht="15.75" customHeight="1">
      <c r="A29" s="66" t="s">
        <v>18</v>
      </c>
      <c r="B29" s="91"/>
      <c r="C29" s="91"/>
      <c r="D29" s="91"/>
      <c r="E29" s="91"/>
      <c r="F29" s="91"/>
      <c r="G29" s="91"/>
      <c r="H29" s="67"/>
      <c r="I29" s="101"/>
    </row>
    <row r="30">
      <c r="A30" s="77">
        <v>1.0</v>
      </c>
      <c r="B30" s="74" t="s">
        <v>1729</v>
      </c>
      <c r="C30" s="74" t="s">
        <v>1730</v>
      </c>
      <c r="D30" s="74" t="s">
        <v>1731</v>
      </c>
      <c r="E30" s="74"/>
      <c r="F30" s="72" t="s">
        <v>8</v>
      </c>
      <c r="G30" s="74"/>
      <c r="H30" s="74"/>
      <c r="I30" s="74"/>
    </row>
    <row r="31">
      <c r="A31" s="77">
        <v>2.0</v>
      </c>
      <c r="B31" s="74" t="s">
        <v>1732</v>
      </c>
      <c r="C31" s="74" t="s">
        <v>1733</v>
      </c>
      <c r="D31" s="74" t="s">
        <v>1734</v>
      </c>
      <c r="E31" s="74"/>
      <c r="F31" s="72" t="s">
        <v>8</v>
      </c>
      <c r="G31" s="74"/>
      <c r="H31" s="74"/>
      <c r="I31" s="74"/>
    </row>
    <row r="32">
      <c r="A32" s="77">
        <v>3.0</v>
      </c>
      <c r="B32" s="74" t="s">
        <v>1435</v>
      </c>
      <c r="C32" s="74" t="s">
        <v>1007</v>
      </c>
      <c r="D32" s="74" t="s">
        <v>374</v>
      </c>
      <c r="E32" s="74"/>
      <c r="F32" s="72" t="s">
        <v>8</v>
      </c>
      <c r="G32" s="74"/>
      <c r="H32" s="74"/>
      <c r="I32" s="74"/>
    </row>
    <row r="33">
      <c r="A33" s="77">
        <v>4.0</v>
      </c>
      <c r="B33" s="74" t="s">
        <v>1735</v>
      </c>
      <c r="C33" s="74" t="s">
        <v>1736</v>
      </c>
      <c r="D33" s="74" t="s">
        <v>374</v>
      </c>
      <c r="E33" s="74"/>
      <c r="F33" s="72" t="s">
        <v>8</v>
      </c>
      <c r="G33" s="74"/>
      <c r="H33" s="74"/>
      <c r="I33" s="74"/>
    </row>
    <row r="34">
      <c r="A34" s="77">
        <v>5.0</v>
      </c>
      <c r="B34" s="74" t="s">
        <v>1737</v>
      </c>
      <c r="C34" s="74" t="s">
        <v>1738</v>
      </c>
      <c r="D34" s="74" t="s">
        <v>1739</v>
      </c>
      <c r="E34" s="74"/>
      <c r="F34" s="72" t="s">
        <v>8</v>
      </c>
      <c r="G34" s="74"/>
      <c r="H34" s="74"/>
      <c r="I34" s="74"/>
    </row>
    <row r="35">
      <c r="A35" s="77">
        <v>6.0</v>
      </c>
      <c r="B35" s="74" t="s">
        <v>1740</v>
      </c>
      <c r="C35" s="74" t="s">
        <v>1741</v>
      </c>
      <c r="D35" s="74" t="s">
        <v>1742</v>
      </c>
      <c r="E35" s="74"/>
      <c r="F35" s="72" t="s">
        <v>8</v>
      </c>
      <c r="G35" s="74"/>
      <c r="H35" s="74"/>
      <c r="I35" s="74"/>
    </row>
    <row r="36">
      <c r="A36" s="77">
        <v>7.0</v>
      </c>
      <c r="B36" s="74" t="s">
        <v>1743</v>
      </c>
      <c r="C36" s="74" t="s">
        <v>1744</v>
      </c>
      <c r="D36" s="74" t="s">
        <v>1745</v>
      </c>
      <c r="E36" s="74"/>
      <c r="F36" s="72" t="s">
        <v>8</v>
      </c>
      <c r="G36" s="74"/>
      <c r="H36" s="74"/>
      <c r="I36" s="74"/>
    </row>
    <row r="37">
      <c r="A37" s="77">
        <v>8.0</v>
      </c>
      <c r="B37" s="74" t="s">
        <v>1447</v>
      </c>
      <c r="C37" s="74" t="s">
        <v>1662</v>
      </c>
      <c r="D37" s="74" t="s">
        <v>374</v>
      </c>
      <c r="E37" s="74"/>
      <c r="F37" s="72" t="s">
        <v>8</v>
      </c>
      <c r="G37" s="74"/>
      <c r="H37" s="74"/>
      <c r="I37" s="74"/>
    </row>
    <row r="38">
      <c r="A38" s="77">
        <v>9.0</v>
      </c>
      <c r="B38" s="74" t="s">
        <v>1449</v>
      </c>
      <c r="C38" s="74" t="s">
        <v>1664</v>
      </c>
      <c r="D38" s="74" t="s">
        <v>374</v>
      </c>
      <c r="E38" s="74"/>
      <c r="F38" s="72" t="s">
        <v>8</v>
      </c>
      <c r="G38" s="74"/>
      <c r="H38" s="74"/>
      <c r="I38" s="74"/>
    </row>
    <row r="39">
      <c r="A39" s="77">
        <v>10.0</v>
      </c>
      <c r="B39" s="74" t="s">
        <v>1444</v>
      </c>
      <c r="C39" s="74" t="s">
        <v>1607</v>
      </c>
      <c r="D39" s="74" t="s">
        <v>1706</v>
      </c>
      <c r="E39" s="74"/>
      <c r="F39" s="72" t="s">
        <v>8</v>
      </c>
      <c r="G39" s="74"/>
      <c r="H39" s="74"/>
      <c r="I39" s="74"/>
    </row>
    <row r="40">
      <c r="A40" s="77">
        <v>11.0</v>
      </c>
      <c r="B40" s="74" t="s">
        <v>1451</v>
      </c>
      <c r="C40" s="74" t="s">
        <v>1746</v>
      </c>
      <c r="D40" s="74" t="s">
        <v>1707</v>
      </c>
      <c r="E40" s="74"/>
      <c r="F40" s="72" t="s">
        <v>8</v>
      </c>
      <c r="G40" s="74"/>
      <c r="H40" s="74"/>
      <c r="I40" s="74"/>
    </row>
    <row r="41">
      <c r="A41" s="77">
        <v>12.0</v>
      </c>
      <c r="B41" s="74" t="s">
        <v>1454</v>
      </c>
      <c r="C41" s="74" t="s">
        <v>1747</v>
      </c>
      <c r="D41" s="74" t="s">
        <v>1707</v>
      </c>
      <c r="E41" s="74"/>
      <c r="F41" s="72" t="s">
        <v>8</v>
      </c>
      <c r="G41" s="74"/>
      <c r="H41" s="74"/>
      <c r="I41" s="74"/>
    </row>
    <row r="42">
      <c r="A42" s="77">
        <v>13.0</v>
      </c>
      <c r="B42" s="74" t="s">
        <v>1463</v>
      </c>
      <c r="C42" s="74" t="s">
        <v>1464</v>
      </c>
      <c r="D42" s="74" t="s">
        <v>1708</v>
      </c>
      <c r="E42" s="74"/>
      <c r="F42" s="72" t="s">
        <v>8</v>
      </c>
      <c r="G42" s="74"/>
      <c r="H42" s="74"/>
      <c r="I42" s="74"/>
    </row>
    <row r="43">
      <c r="A43" s="77">
        <v>14.0</v>
      </c>
      <c r="B43" s="74" t="s">
        <v>1709</v>
      </c>
      <c r="C43" s="74" t="s">
        <v>1710</v>
      </c>
      <c r="D43" s="74" t="s">
        <v>1711</v>
      </c>
      <c r="E43" s="74"/>
      <c r="F43" s="72" t="s">
        <v>8</v>
      </c>
      <c r="G43" s="74"/>
      <c r="H43" s="74"/>
      <c r="I43" s="74"/>
    </row>
    <row r="44">
      <c r="A44" s="77">
        <v>15.0</v>
      </c>
      <c r="B44" s="74" t="s">
        <v>1748</v>
      </c>
      <c r="C44" s="74" t="s">
        <v>1749</v>
      </c>
      <c r="D44" s="74" t="s">
        <v>1750</v>
      </c>
      <c r="E44" s="74"/>
      <c r="F44" s="72" t="s">
        <v>8</v>
      </c>
      <c r="G44" s="74"/>
      <c r="H44" s="74"/>
      <c r="I44" s="74"/>
    </row>
    <row r="45">
      <c r="A45" s="77">
        <v>16.0</v>
      </c>
      <c r="B45" s="74" t="s">
        <v>1751</v>
      </c>
      <c r="C45" s="74" t="s">
        <v>1503</v>
      </c>
      <c r="D45" s="74" t="s">
        <v>1283</v>
      </c>
      <c r="E45" s="74"/>
      <c r="F45" s="72" t="s">
        <v>8</v>
      </c>
      <c r="G45" s="74"/>
      <c r="H45" s="74"/>
      <c r="I45" s="74"/>
    </row>
    <row r="46">
      <c r="A46" s="77">
        <v>17.0</v>
      </c>
      <c r="B46" s="74" t="s">
        <v>1283</v>
      </c>
      <c r="C46" s="74" t="s">
        <v>1752</v>
      </c>
      <c r="D46" s="74" t="s">
        <v>1501</v>
      </c>
      <c r="E46" s="74"/>
      <c r="F46" s="72" t="s">
        <v>8</v>
      </c>
      <c r="G46" s="74"/>
      <c r="H46" s="74"/>
      <c r="I46" s="74"/>
    </row>
    <row r="47">
      <c r="A47" s="77">
        <v>18.0</v>
      </c>
      <c r="B47" s="74" t="s">
        <v>1753</v>
      </c>
      <c r="C47" s="74" t="s">
        <v>1683</v>
      </c>
      <c r="D47" s="74" t="s">
        <v>1567</v>
      </c>
      <c r="E47" s="74"/>
      <c r="F47" s="72" t="s">
        <v>8</v>
      </c>
      <c r="G47" s="74"/>
      <c r="H47" s="74"/>
      <c r="I47" s="74"/>
    </row>
    <row r="48">
      <c r="A48" s="77">
        <v>19.0</v>
      </c>
      <c r="B48" s="74" t="s">
        <v>682</v>
      </c>
      <c r="C48" s="74" t="s">
        <v>731</v>
      </c>
      <c r="D48" s="74" t="s">
        <v>1188</v>
      </c>
      <c r="E48" s="74"/>
      <c r="F48" s="72" t="s">
        <v>8</v>
      </c>
      <c r="G48" s="74"/>
      <c r="H48" s="74"/>
      <c r="I48" s="74"/>
    </row>
    <row r="49">
      <c r="A49" s="77">
        <v>20.0</v>
      </c>
      <c r="B49" s="74" t="s">
        <v>1568</v>
      </c>
      <c r="C49" s="74" t="s">
        <v>1569</v>
      </c>
      <c r="D49" s="74" t="s">
        <v>1188</v>
      </c>
      <c r="E49" s="74"/>
      <c r="F49" s="72" t="s">
        <v>8</v>
      </c>
      <c r="G49" s="74"/>
      <c r="H49" s="74"/>
      <c r="I49" s="74"/>
    </row>
    <row r="50">
      <c r="A50" s="77">
        <v>21.0</v>
      </c>
      <c r="B50" s="74" t="s">
        <v>735</v>
      </c>
      <c r="C50" s="74" t="s">
        <v>1513</v>
      </c>
      <c r="D50" s="74" t="s">
        <v>1188</v>
      </c>
      <c r="E50" s="74"/>
      <c r="F50" s="72" t="s">
        <v>8</v>
      </c>
      <c r="G50" s="74"/>
      <c r="H50" s="74"/>
      <c r="I50" s="74"/>
    </row>
    <row r="51">
      <c r="A51" s="77">
        <v>22.0</v>
      </c>
      <c r="B51" s="78" t="s">
        <v>1726</v>
      </c>
      <c r="C51" s="78" t="s">
        <v>1727</v>
      </c>
      <c r="D51" s="78" t="s">
        <v>1728</v>
      </c>
      <c r="E51" s="74"/>
      <c r="F51" s="72" t="s">
        <v>8</v>
      </c>
      <c r="G51" s="74"/>
      <c r="H51" s="74"/>
      <c r="I51" s="74"/>
    </row>
    <row r="52" ht="15.75" customHeight="1">
      <c r="A52" s="66" t="s">
        <v>21</v>
      </c>
      <c r="B52" s="91"/>
      <c r="C52" s="91"/>
      <c r="D52" s="91"/>
      <c r="E52" s="91"/>
      <c r="F52" s="91"/>
      <c r="G52" s="91"/>
      <c r="H52" s="67"/>
      <c r="I52" s="101"/>
    </row>
    <row r="53">
      <c r="A53" s="77">
        <v>1.0</v>
      </c>
      <c r="B53" s="74" t="s">
        <v>1754</v>
      </c>
      <c r="C53" s="74" t="s">
        <v>1755</v>
      </c>
      <c r="D53" s="74" t="s">
        <v>1756</v>
      </c>
      <c r="E53" s="74"/>
      <c r="F53" s="72" t="s">
        <v>8</v>
      </c>
      <c r="G53" s="74"/>
      <c r="H53" s="74"/>
      <c r="I53" s="74"/>
    </row>
    <row r="54">
      <c r="A54" s="77">
        <v>2.0</v>
      </c>
      <c r="B54" s="74" t="s">
        <v>1757</v>
      </c>
      <c r="C54" s="74" t="s">
        <v>1758</v>
      </c>
      <c r="D54" s="74" t="s">
        <v>1759</v>
      </c>
      <c r="E54" s="74"/>
      <c r="F54" s="72" t="s">
        <v>8</v>
      </c>
      <c r="G54" s="74"/>
      <c r="H54" s="74"/>
      <c r="I54" s="74"/>
    </row>
    <row r="55">
      <c r="A55" s="77">
        <v>3.0</v>
      </c>
      <c r="B55" s="74" t="s">
        <v>1435</v>
      </c>
      <c r="C55" s="74" t="s">
        <v>1435</v>
      </c>
      <c r="D55" s="74" t="s">
        <v>374</v>
      </c>
      <c r="E55" s="74"/>
      <c r="F55" s="72" t="s">
        <v>8</v>
      </c>
      <c r="G55" s="74"/>
      <c r="H55" s="74"/>
      <c r="I55" s="74"/>
    </row>
    <row r="56">
      <c r="A56" s="77">
        <v>4.0</v>
      </c>
      <c r="B56" s="74" t="s">
        <v>1523</v>
      </c>
      <c r="C56" s="74" t="s">
        <v>1524</v>
      </c>
      <c r="D56" s="74" t="s">
        <v>374</v>
      </c>
      <c r="E56" s="74"/>
      <c r="F56" s="72" t="s">
        <v>8</v>
      </c>
      <c r="G56" s="74"/>
      <c r="H56" s="74"/>
      <c r="I56" s="74"/>
    </row>
    <row r="57">
      <c r="A57" s="77">
        <v>5.0</v>
      </c>
      <c r="B57" s="74" t="s">
        <v>1760</v>
      </c>
      <c r="C57" s="74" t="s">
        <v>1761</v>
      </c>
      <c r="D57" s="74" t="s">
        <v>1761</v>
      </c>
      <c r="E57" s="74"/>
      <c r="F57" s="72" t="s">
        <v>8</v>
      </c>
      <c r="G57" s="74"/>
      <c r="H57" s="74"/>
      <c r="I57" s="74"/>
    </row>
    <row r="58">
      <c r="A58" s="77">
        <v>6.0</v>
      </c>
      <c r="B58" s="74" t="s">
        <v>1703</v>
      </c>
      <c r="C58" s="74" t="s">
        <v>1762</v>
      </c>
      <c r="D58" s="74" t="s">
        <v>1763</v>
      </c>
      <c r="E58" s="74"/>
      <c r="F58" s="72" t="s">
        <v>8</v>
      </c>
      <c r="G58" s="74"/>
      <c r="H58" s="74"/>
      <c r="I58" s="74"/>
    </row>
    <row r="59">
      <c r="A59" s="77">
        <v>7.0</v>
      </c>
      <c r="B59" s="74" t="s">
        <v>1764</v>
      </c>
      <c r="C59" s="74" t="s">
        <v>1602</v>
      </c>
      <c r="D59" s="74" t="s">
        <v>1765</v>
      </c>
      <c r="E59" s="74"/>
      <c r="F59" s="72" t="s">
        <v>8</v>
      </c>
      <c r="G59" s="74"/>
      <c r="H59" s="74"/>
      <c r="I59" s="74"/>
    </row>
    <row r="60">
      <c r="A60" s="77">
        <v>8.0</v>
      </c>
      <c r="B60" s="74" t="s">
        <v>1765</v>
      </c>
      <c r="C60" s="74" t="s">
        <v>1442</v>
      </c>
      <c r="D60" s="74" t="s">
        <v>1443</v>
      </c>
      <c r="E60" s="74"/>
      <c r="F60" s="72" t="s">
        <v>8</v>
      </c>
      <c r="G60" s="74"/>
      <c r="H60" s="74"/>
      <c r="I60" s="74"/>
    </row>
    <row r="61">
      <c r="A61" s="77">
        <v>9.0</v>
      </c>
      <c r="B61" s="74" t="s">
        <v>1447</v>
      </c>
      <c r="C61" s="74" t="s">
        <v>1447</v>
      </c>
      <c r="D61" s="74" t="s">
        <v>1662</v>
      </c>
      <c r="E61" s="74"/>
      <c r="F61" s="72" t="s">
        <v>8</v>
      </c>
      <c r="G61" s="74"/>
      <c r="H61" s="74"/>
      <c r="I61" s="74"/>
    </row>
    <row r="62">
      <c r="A62" s="77">
        <v>10.0</v>
      </c>
      <c r="B62" s="74" t="s">
        <v>1449</v>
      </c>
      <c r="C62" s="74" t="s">
        <v>1664</v>
      </c>
      <c r="D62" s="74" t="s">
        <v>374</v>
      </c>
      <c r="E62" s="74"/>
      <c r="F62" s="72" t="s">
        <v>8</v>
      </c>
      <c r="G62" s="74"/>
      <c r="H62" s="74"/>
      <c r="I62" s="74"/>
    </row>
    <row r="63">
      <c r="A63" s="77">
        <v>11.0</v>
      </c>
      <c r="B63" s="74" t="s">
        <v>1444</v>
      </c>
      <c r="C63" s="74" t="s">
        <v>1607</v>
      </c>
      <c r="D63" s="74" t="s">
        <v>1706</v>
      </c>
      <c r="E63" s="74"/>
      <c r="F63" s="72" t="s">
        <v>8</v>
      </c>
      <c r="G63" s="74"/>
      <c r="H63" s="74"/>
      <c r="I63" s="74"/>
    </row>
    <row r="64">
      <c r="A64" s="77">
        <v>12.0</v>
      </c>
      <c r="B64" s="74" t="s">
        <v>1451</v>
      </c>
      <c r="C64" s="74" t="s">
        <v>1746</v>
      </c>
      <c r="D64" s="74" t="s">
        <v>1746</v>
      </c>
      <c r="E64" s="74"/>
      <c r="F64" s="72" t="s">
        <v>8</v>
      </c>
      <c r="G64" s="74"/>
      <c r="H64" s="74"/>
      <c r="I64" s="74"/>
    </row>
    <row r="65">
      <c r="A65" s="77">
        <v>13.0</v>
      </c>
      <c r="B65" s="74" t="s">
        <v>1454</v>
      </c>
      <c r="C65" s="74" t="s">
        <v>1747</v>
      </c>
      <c r="D65" s="74" t="s">
        <v>1707</v>
      </c>
      <c r="E65" s="74"/>
      <c r="F65" s="72" t="s">
        <v>8</v>
      </c>
      <c r="G65" s="74"/>
      <c r="H65" s="74"/>
      <c r="I65" s="74"/>
    </row>
    <row r="66">
      <c r="A66" s="77">
        <v>14.0</v>
      </c>
      <c r="B66" s="74" t="s">
        <v>1766</v>
      </c>
      <c r="C66" s="74" t="s">
        <v>1766</v>
      </c>
      <c r="D66" s="74" t="s">
        <v>1767</v>
      </c>
      <c r="E66" s="74"/>
      <c r="F66" s="72" t="s">
        <v>8</v>
      </c>
      <c r="G66" s="74"/>
      <c r="H66" s="74"/>
      <c r="I66" s="74"/>
    </row>
    <row r="67">
      <c r="A67" s="77">
        <v>15.0</v>
      </c>
      <c r="B67" s="74" t="s">
        <v>1768</v>
      </c>
      <c r="C67" s="74" t="s">
        <v>1769</v>
      </c>
      <c r="D67" s="74" t="s">
        <v>1770</v>
      </c>
      <c r="E67" s="74"/>
      <c r="F67" s="72" t="s">
        <v>8</v>
      </c>
      <c r="G67" s="74"/>
      <c r="H67" s="74"/>
      <c r="I67" s="74"/>
    </row>
    <row r="68">
      <c r="A68" s="77">
        <v>16.0</v>
      </c>
      <c r="B68" s="74" t="s">
        <v>1463</v>
      </c>
      <c r="C68" s="74" t="s">
        <v>1463</v>
      </c>
      <c r="D68" s="74" t="s">
        <v>1708</v>
      </c>
      <c r="E68" s="74"/>
      <c r="F68" s="72" t="s">
        <v>8</v>
      </c>
      <c r="G68" s="74"/>
      <c r="H68" s="74"/>
      <c r="I68" s="74"/>
    </row>
    <row r="69">
      <c r="A69" s="77">
        <v>17.0</v>
      </c>
      <c r="B69" s="74" t="s">
        <v>1709</v>
      </c>
      <c r="C69" s="74" t="s">
        <v>1710</v>
      </c>
      <c r="D69" s="74" t="s">
        <v>1771</v>
      </c>
      <c r="E69" s="74"/>
      <c r="F69" s="72" t="s">
        <v>8</v>
      </c>
      <c r="G69" s="74"/>
      <c r="H69" s="74"/>
      <c r="I69" s="74"/>
    </row>
    <row r="70">
      <c r="A70" s="77">
        <v>18.0</v>
      </c>
      <c r="B70" s="74" t="s">
        <v>1772</v>
      </c>
      <c r="C70" s="74" t="s">
        <v>1773</v>
      </c>
      <c r="D70" s="74" t="s">
        <v>1774</v>
      </c>
      <c r="E70" s="74"/>
      <c r="F70" s="72" t="s">
        <v>8</v>
      </c>
      <c r="G70" s="74"/>
      <c r="H70" s="74"/>
      <c r="I70" s="74"/>
    </row>
    <row r="71">
      <c r="A71" s="77">
        <v>19.0</v>
      </c>
      <c r="B71" s="74" t="s">
        <v>1775</v>
      </c>
      <c r="C71" s="74" t="s">
        <v>1503</v>
      </c>
      <c r="D71" s="74" t="s">
        <v>1283</v>
      </c>
      <c r="E71" s="74"/>
      <c r="F71" s="72" t="s">
        <v>8</v>
      </c>
      <c r="G71" s="74"/>
      <c r="H71" s="74"/>
      <c r="I71" s="74"/>
    </row>
    <row r="72">
      <c r="A72" s="77">
        <v>20.0</v>
      </c>
      <c r="B72" s="74" t="s">
        <v>1283</v>
      </c>
      <c r="C72" s="74" t="s">
        <v>1776</v>
      </c>
      <c r="D72" s="74" t="s">
        <v>1501</v>
      </c>
      <c r="E72" s="74"/>
      <c r="F72" s="72" t="s">
        <v>8</v>
      </c>
      <c r="G72" s="74"/>
      <c r="H72" s="74"/>
      <c r="I72" s="74"/>
    </row>
    <row r="73">
      <c r="A73" s="77">
        <v>21.0</v>
      </c>
      <c r="B73" s="74" t="s">
        <v>1777</v>
      </c>
      <c r="C73" s="74" t="s">
        <v>1683</v>
      </c>
      <c r="D73" s="74" t="s">
        <v>1567</v>
      </c>
      <c r="E73" s="74"/>
      <c r="F73" s="72" t="s">
        <v>8</v>
      </c>
      <c r="G73" s="74"/>
      <c r="H73" s="74"/>
      <c r="I73" s="74"/>
    </row>
    <row r="74">
      <c r="A74" s="77">
        <v>22.0</v>
      </c>
      <c r="B74" s="74" t="s">
        <v>682</v>
      </c>
      <c r="C74" s="74" t="s">
        <v>731</v>
      </c>
      <c r="D74" s="74" t="s">
        <v>1188</v>
      </c>
      <c r="E74" s="74"/>
      <c r="F74" s="72" t="s">
        <v>8</v>
      </c>
      <c r="G74" s="74"/>
      <c r="H74" s="74"/>
      <c r="I74" s="74"/>
    </row>
    <row r="75">
      <c r="A75" s="77">
        <v>23.0</v>
      </c>
      <c r="B75" s="74" t="s">
        <v>1568</v>
      </c>
      <c r="C75" s="74" t="s">
        <v>1569</v>
      </c>
      <c r="D75" s="74" t="s">
        <v>1188</v>
      </c>
      <c r="E75" s="74"/>
      <c r="F75" s="72" t="s">
        <v>8</v>
      </c>
      <c r="G75" s="74"/>
      <c r="H75" s="74"/>
      <c r="I75" s="74"/>
    </row>
    <row r="76">
      <c r="A76" s="77">
        <v>24.0</v>
      </c>
      <c r="B76" s="74" t="s">
        <v>1684</v>
      </c>
      <c r="C76" s="74" t="s">
        <v>1685</v>
      </c>
      <c r="D76" s="74" t="s">
        <v>1188</v>
      </c>
      <c r="E76" s="74"/>
      <c r="F76" s="72" t="s">
        <v>8</v>
      </c>
      <c r="G76" s="74"/>
      <c r="H76" s="74"/>
      <c r="I76" s="74"/>
    </row>
    <row r="77">
      <c r="A77" s="77">
        <v>25.0</v>
      </c>
      <c r="B77" s="74" t="s">
        <v>735</v>
      </c>
      <c r="C77" s="74" t="s">
        <v>1513</v>
      </c>
      <c r="D77" s="74" t="s">
        <v>1188</v>
      </c>
      <c r="E77" s="74"/>
      <c r="F77" s="72" t="s">
        <v>8</v>
      </c>
      <c r="G77" s="74"/>
      <c r="H77" s="74"/>
      <c r="I77" s="74"/>
    </row>
    <row r="78">
      <c r="A78" s="77">
        <v>26.0</v>
      </c>
      <c r="B78" s="78" t="s">
        <v>1726</v>
      </c>
      <c r="C78" s="78" t="s">
        <v>1727</v>
      </c>
      <c r="D78" s="78" t="s">
        <v>1728</v>
      </c>
      <c r="E78" s="74"/>
      <c r="F78" s="72" t="s">
        <v>8</v>
      </c>
      <c r="G78" s="74"/>
      <c r="H78" s="74"/>
      <c r="I78" s="74"/>
    </row>
    <row r="79" ht="15.75" customHeight="1">
      <c r="A79" s="66" t="s">
        <v>1778</v>
      </c>
      <c r="B79" s="91"/>
      <c r="C79" s="91"/>
      <c r="D79" s="91"/>
      <c r="E79" s="91"/>
      <c r="F79" s="91"/>
      <c r="G79" s="91"/>
      <c r="H79" s="67"/>
      <c r="I79" s="101"/>
    </row>
    <row r="80">
      <c r="A80" s="77">
        <v>1.0</v>
      </c>
      <c r="B80" s="74" t="s">
        <v>1779</v>
      </c>
      <c r="C80" s="74" t="s">
        <v>1780</v>
      </c>
      <c r="D80" s="74" t="s">
        <v>1781</v>
      </c>
      <c r="E80" s="74"/>
      <c r="F80" s="72" t="s">
        <v>8</v>
      </c>
      <c r="G80" s="74"/>
      <c r="H80" s="74"/>
      <c r="I80" s="74"/>
    </row>
    <row r="81">
      <c r="A81" s="77">
        <v>2.0</v>
      </c>
      <c r="B81" s="74" t="s">
        <v>1782</v>
      </c>
      <c r="C81" s="74" t="s">
        <v>1783</v>
      </c>
      <c r="D81" s="74" t="s">
        <v>1784</v>
      </c>
      <c r="E81" s="74"/>
      <c r="F81" s="72" t="s">
        <v>8</v>
      </c>
      <c r="G81" s="74"/>
      <c r="H81" s="74"/>
      <c r="I81" s="74"/>
    </row>
    <row r="82">
      <c r="A82" s="77">
        <v>3.0</v>
      </c>
      <c r="B82" s="74" t="s">
        <v>1785</v>
      </c>
      <c r="C82" s="74" t="s">
        <v>1786</v>
      </c>
      <c r="D82" s="74" t="s">
        <v>374</v>
      </c>
      <c r="E82" s="74"/>
      <c r="F82" s="72" t="s">
        <v>8</v>
      </c>
      <c r="G82" s="74"/>
      <c r="H82" s="74"/>
      <c r="I82" s="74"/>
    </row>
    <row r="83">
      <c r="A83" s="77">
        <v>4.0</v>
      </c>
      <c r="B83" s="74" t="s">
        <v>1787</v>
      </c>
      <c r="C83" s="74" t="s">
        <v>1788</v>
      </c>
      <c r="D83" s="74" t="s">
        <v>1789</v>
      </c>
      <c r="E83" s="74"/>
      <c r="F83" s="72" t="s">
        <v>8</v>
      </c>
      <c r="G83" s="74"/>
      <c r="H83" s="74"/>
      <c r="I83" s="74"/>
    </row>
    <row r="84">
      <c r="A84" s="77">
        <v>5.0</v>
      </c>
      <c r="B84" s="74" t="s">
        <v>1789</v>
      </c>
      <c r="C84" s="74" t="s">
        <v>1264</v>
      </c>
      <c r="D84" s="74" t="s">
        <v>1790</v>
      </c>
      <c r="E84" s="74"/>
      <c r="F84" s="72" t="s">
        <v>8</v>
      </c>
      <c r="G84" s="74"/>
      <c r="H84" s="74"/>
      <c r="I84" s="74"/>
    </row>
    <row r="85">
      <c r="A85" s="77">
        <v>6.0</v>
      </c>
      <c r="B85" s="74" t="s">
        <v>1790</v>
      </c>
      <c r="C85" s="74" t="s">
        <v>1791</v>
      </c>
      <c r="D85" s="74" t="s">
        <v>1792</v>
      </c>
      <c r="E85" s="74"/>
      <c r="F85" s="72" t="s">
        <v>8</v>
      </c>
      <c r="G85" s="74"/>
      <c r="H85" s="74"/>
      <c r="I85" s="74"/>
    </row>
    <row r="86">
      <c r="A86" s="77">
        <v>7.0</v>
      </c>
      <c r="B86" s="74" t="s">
        <v>1792</v>
      </c>
      <c r="C86" s="74" t="s">
        <v>731</v>
      </c>
      <c r="D86" s="74" t="s">
        <v>1188</v>
      </c>
      <c r="E86" s="74"/>
      <c r="F86" s="72" t="s">
        <v>8</v>
      </c>
      <c r="G86" s="74"/>
      <c r="H86" s="74"/>
      <c r="I86" s="74"/>
    </row>
    <row r="87">
      <c r="A87" s="77">
        <v>8.0</v>
      </c>
      <c r="B87" s="74" t="s">
        <v>1793</v>
      </c>
      <c r="C87" s="74" t="s">
        <v>1794</v>
      </c>
      <c r="D87" s="74" t="s">
        <v>1794</v>
      </c>
      <c r="E87" s="74"/>
      <c r="F87" s="72" t="s">
        <v>8</v>
      </c>
      <c r="G87" s="74"/>
      <c r="H87" s="74"/>
      <c r="I87" s="74"/>
    </row>
    <row r="88">
      <c r="A88" s="77">
        <v>9.0</v>
      </c>
      <c r="B88" s="74" t="s">
        <v>1795</v>
      </c>
      <c r="C88" s="74" t="s">
        <v>1503</v>
      </c>
      <c r="D88" s="74" t="s">
        <v>1283</v>
      </c>
      <c r="E88" s="74"/>
      <c r="F88" s="72" t="s">
        <v>8</v>
      </c>
      <c r="G88" s="74"/>
      <c r="H88" s="74"/>
      <c r="I88" s="74"/>
    </row>
    <row r="89">
      <c r="A89" s="77">
        <v>10.0</v>
      </c>
      <c r="B89" s="74" t="s">
        <v>1796</v>
      </c>
      <c r="C89" s="74" t="s">
        <v>1796</v>
      </c>
      <c r="D89" s="74" t="s">
        <v>1501</v>
      </c>
      <c r="E89" s="74"/>
      <c r="F89" s="72" t="s">
        <v>8</v>
      </c>
      <c r="G89" s="74"/>
      <c r="H89" s="74"/>
      <c r="I89" s="74"/>
    </row>
    <row r="90">
      <c r="A90" s="77">
        <v>11.0</v>
      </c>
      <c r="B90" s="74" t="s">
        <v>1797</v>
      </c>
      <c r="C90" s="74" t="s">
        <v>1797</v>
      </c>
      <c r="D90" s="76" t="s">
        <v>1798</v>
      </c>
      <c r="E90" s="74"/>
      <c r="F90" s="72" t="s">
        <v>8</v>
      </c>
      <c r="G90" s="74"/>
      <c r="H90" s="74"/>
      <c r="I90" s="74"/>
    </row>
    <row r="91">
      <c r="A91" s="77">
        <v>12.0</v>
      </c>
      <c r="B91" s="74" t="s">
        <v>1799</v>
      </c>
      <c r="C91" s="74" t="s">
        <v>1799</v>
      </c>
      <c r="D91" s="74" t="s">
        <v>1130</v>
      </c>
      <c r="E91" s="76" t="s">
        <v>1800</v>
      </c>
      <c r="F91" s="75" t="s">
        <v>8</v>
      </c>
      <c r="G91" s="76" t="s">
        <v>1801</v>
      </c>
      <c r="H91" s="74"/>
      <c r="I91" s="74"/>
    </row>
    <row r="92">
      <c r="A92" s="77">
        <v>13.0</v>
      </c>
      <c r="B92" s="78" t="s">
        <v>1726</v>
      </c>
      <c r="C92" s="78" t="s">
        <v>1727</v>
      </c>
      <c r="D92" s="78" t="s">
        <v>1728</v>
      </c>
      <c r="E92" s="74"/>
      <c r="F92" s="72" t="s">
        <v>8</v>
      </c>
      <c r="G92" s="74"/>
      <c r="H92" s="74"/>
      <c r="I92" s="74"/>
    </row>
    <row r="93" ht="15.75" customHeight="1">
      <c r="A93" s="66" t="s">
        <v>1802</v>
      </c>
      <c r="B93" s="91"/>
      <c r="C93" s="91"/>
      <c r="D93" s="91"/>
      <c r="E93" s="91"/>
      <c r="F93" s="91"/>
      <c r="G93" s="91"/>
      <c r="H93" s="67"/>
      <c r="I93" s="101"/>
    </row>
    <row r="94">
      <c r="A94" s="77">
        <v>1.0</v>
      </c>
      <c r="B94" s="74" t="s">
        <v>1803</v>
      </c>
      <c r="C94" s="74" t="s">
        <v>1804</v>
      </c>
      <c r="D94" s="74" t="s">
        <v>1805</v>
      </c>
      <c r="E94" s="74"/>
      <c r="F94" s="72" t="s">
        <v>8</v>
      </c>
      <c r="G94" s="74"/>
      <c r="H94" s="74"/>
      <c r="I94" s="74"/>
    </row>
    <row r="95">
      <c r="A95" s="77">
        <v>2.0</v>
      </c>
      <c r="B95" s="74" t="s">
        <v>1806</v>
      </c>
      <c r="C95" s="74" t="s">
        <v>1807</v>
      </c>
      <c r="D95" s="74" t="s">
        <v>1807</v>
      </c>
      <c r="E95" s="74"/>
      <c r="F95" s="72" t="s">
        <v>8</v>
      </c>
      <c r="G95" s="74"/>
      <c r="H95" s="74"/>
      <c r="I95" s="74"/>
    </row>
    <row r="96">
      <c r="A96" s="77">
        <v>3.0</v>
      </c>
      <c r="B96" s="74" t="s">
        <v>1808</v>
      </c>
      <c r="C96" s="74" t="s">
        <v>1809</v>
      </c>
      <c r="D96" s="74" t="s">
        <v>1809</v>
      </c>
      <c r="E96" s="74"/>
      <c r="F96" s="72" t="s">
        <v>8</v>
      </c>
      <c r="G96" s="74"/>
      <c r="H96" s="74"/>
      <c r="I96" s="74"/>
    </row>
    <row r="97">
      <c r="A97" s="77">
        <v>4.0</v>
      </c>
      <c r="B97" s="74" t="s">
        <v>374</v>
      </c>
      <c r="C97" s="74" t="s">
        <v>1810</v>
      </c>
      <c r="D97" s="74" t="s">
        <v>1264</v>
      </c>
      <c r="E97" s="74"/>
      <c r="F97" s="72" t="s">
        <v>8</v>
      </c>
      <c r="G97" s="74"/>
      <c r="H97" s="74"/>
      <c r="I97" s="74"/>
    </row>
    <row r="98">
      <c r="A98" s="77">
        <v>5.0</v>
      </c>
      <c r="B98" s="74" t="s">
        <v>1811</v>
      </c>
      <c r="C98" s="74" t="s">
        <v>731</v>
      </c>
      <c r="D98" s="74" t="s">
        <v>1188</v>
      </c>
      <c r="E98" s="74"/>
      <c r="F98" s="72" t="s">
        <v>8</v>
      </c>
      <c r="G98" s="74"/>
      <c r="H98" s="74"/>
      <c r="I98" s="74"/>
    </row>
    <row r="99">
      <c r="A99" s="77">
        <v>6.0</v>
      </c>
      <c r="B99" s="74" t="s">
        <v>1188</v>
      </c>
      <c r="C99" s="74" t="s">
        <v>1812</v>
      </c>
      <c r="D99" s="74" t="s">
        <v>1813</v>
      </c>
      <c r="E99" s="74"/>
      <c r="F99" s="72" t="s">
        <v>8</v>
      </c>
      <c r="G99" s="74"/>
      <c r="H99" s="74"/>
      <c r="I99" s="74"/>
    </row>
    <row r="100">
      <c r="A100" s="77">
        <v>7.0</v>
      </c>
      <c r="B100" s="74" t="s">
        <v>1814</v>
      </c>
      <c r="C100" s="74" t="s">
        <v>1503</v>
      </c>
      <c r="D100" s="74" t="s">
        <v>1283</v>
      </c>
      <c r="E100" s="74"/>
      <c r="F100" s="72" t="s">
        <v>8</v>
      </c>
      <c r="G100" s="74"/>
      <c r="H100" s="74"/>
      <c r="I100" s="74"/>
    </row>
    <row r="101">
      <c r="A101" s="77">
        <v>8.0</v>
      </c>
      <c r="B101" s="74" t="s">
        <v>1815</v>
      </c>
      <c r="C101" s="74" t="s">
        <v>1816</v>
      </c>
      <c r="D101" s="74" t="s">
        <v>1501</v>
      </c>
      <c r="E101" s="74"/>
      <c r="F101" s="72" t="s">
        <v>8</v>
      </c>
      <c r="G101" s="74"/>
      <c r="H101" s="74"/>
      <c r="I101" s="74"/>
    </row>
    <row r="102">
      <c r="A102" s="77">
        <v>9.0</v>
      </c>
      <c r="B102" s="74" t="s">
        <v>1817</v>
      </c>
      <c r="C102" s="74" t="s">
        <v>1817</v>
      </c>
      <c r="D102" s="74" t="s">
        <v>1818</v>
      </c>
      <c r="E102" s="74"/>
      <c r="F102" s="72" t="s">
        <v>8</v>
      </c>
      <c r="G102" s="74"/>
      <c r="H102" s="74"/>
      <c r="I102" s="74"/>
    </row>
    <row r="103">
      <c r="A103" s="77">
        <v>10.0</v>
      </c>
      <c r="B103" s="74" t="s">
        <v>1819</v>
      </c>
      <c r="C103" s="74" t="s">
        <v>1820</v>
      </c>
      <c r="D103" s="74" t="s">
        <v>988</v>
      </c>
      <c r="E103" s="76" t="s">
        <v>1821</v>
      </c>
      <c r="F103" s="75" t="s">
        <v>8</v>
      </c>
      <c r="G103" s="76" t="s">
        <v>1801</v>
      </c>
      <c r="H103" s="74"/>
      <c r="I103" s="74"/>
    </row>
    <row r="104">
      <c r="A104" s="77">
        <v>11.0</v>
      </c>
      <c r="B104" s="93" t="s">
        <v>1822</v>
      </c>
      <c r="C104" s="93" t="s">
        <v>1823</v>
      </c>
      <c r="D104" s="93" t="s">
        <v>1824</v>
      </c>
      <c r="E104" s="102"/>
      <c r="F104" s="92" t="s">
        <v>8</v>
      </c>
      <c r="G104" s="102"/>
      <c r="H104" s="74"/>
      <c r="I104" s="74"/>
    </row>
    <row r="105">
      <c r="A105" s="77">
        <v>12.0</v>
      </c>
      <c r="B105" s="78" t="s">
        <v>1726</v>
      </c>
      <c r="C105" s="78" t="s">
        <v>1727</v>
      </c>
      <c r="D105" s="78" t="s">
        <v>1728</v>
      </c>
      <c r="E105" s="74"/>
      <c r="F105" s="72" t="s">
        <v>8</v>
      </c>
      <c r="G105" s="74"/>
      <c r="H105" s="74"/>
      <c r="I105" s="74"/>
    </row>
    <row r="106" ht="15.75" customHeight="1">
      <c r="A106" s="66" t="s">
        <v>1825</v>
      </c>
      <c r="B106" s="91"/>
      <c r="C106" s="91"/>
      <c r="D106" s="91"/>
      <c r="E106" s="91"/>
      <c r="F106" s="91"/>
      <c r="G106" s="91"/>
      <c r="H106" s="67"/>
      <c r="I106" s="101"/>
    </row>
    <row r="107">
      <c r="A107" s="77">
        <v>1.0</v>
      </c>
      <c r="B107" s="74" t="s">
        <v>1826</v>
      </c>
      <c r="C107" s="74" t="s">
        <v>1827</v>
      </c>
      <c r="D107" s="74" t="s">
        <v>1827</v>
      </c>
      <c r="E107" s="74"/>
      <c r="F107" s="72" t="s">
        <v>8</v>
      </c>
      <c r="G107" s="74"/>
      <c r="H107" s="74"/>
      <c r="I107" s="74"/>
    </row>
    <row r="108">
      <c r="A108" s="77">
        <v>2.0</v>
      </c>
      <c r="B108" s="74" t="s">
        <v>1828</v>
      </c>
      <c r="C108" s="74" t="s">
        <v>1829</v>
      </c>
      <c r="D108" s="74" t="s">
        <v>1830</v>
      </c>
      <c r="E108" s="74"/>
      <c r="F108" s="72" t="s">
        <v>8</v>
      </c>
      <c r="G108" s="74"/>
      <c r="H108" s="74"/>
      <c r="I108" s="74"/>
    </row>
    <row r="109">
      <c r="A109" s="77">
        <v>3.0</v>
      </c>
      <c r="B109" s="74" t="s">
        <v>1831</v>
      </c>
      <c r="C109" s="74" t="s">
        <v>1832</v>
      </c>
      <c r="D109" s="74" t="s">
        <v>374</v>
      </c>
      <c r="E109" s="74"/>
      <c r="F109" s="72" t="s">
        <v>8</v>
      </c>
      <c r="G109" s="74"/>
      <c r="H109" s="74"/>
      <c r="I109" s="74"/>
    </row>
    <row r="110">
      <c r="A110" s="77">
        <v>4.0</v>
      </c>
      <c r="B110" s="74" t="s">
        <v>1833</v>
      </c>
      <c r="C110" s="74" t="s">
        <v>1834</v>
      </c>
      <c r="D110" s="74" t="s">
        <v>1835</v>
      </c>
      <c r="E110" s="74"/>
      <c r="F110" s="72" t="s">
        <v>8</v>
      </c>
      <c r="G110" s="74"/>
      <c r="H110" s="74"/>
      <c r="I110" s="74"/>
    </row>
    <row r="111">
      <c r="A111" s="77">
        <v>5.0</v>
      </c>
      <c r="B111" s="74" t="s">
        <v>1836</v>
      </c>
      <c r="C111" s="74" t="s">
        <v>1836</v>
      </c>
      <c r="D111" s="74" t="s">
        <v>1837</v>
      </c>
      <c r="E111" s="74"/>
      <c r="F111" s="72" t="s">
        <v>8</v>
      </c>
      <c r="G111" s="74"/>
      <c r="H111" s="74"/>
      <c r="I111" s="74"/>
    </row>
    <row r="112">
      <c r="A112" s="77">
        <v>7.0</v>
      </c>
      <c r="B112" s="74" t="s">
        <v>1838</v>
      </c>
      <c r="C112" s="74" t="s">
        <v>1839</v>
      </c>
      <c r="D112" s="74" t="s">
        <v>1588</v>
      </c>
      <c r="E112" s="76" t="s">
        <v>1840</v>
      </c>
      <c r="F112" s="75" t="s">
        <v>8</v>
      </c>
      <c r="G112" s="76" t="s">
        <v>1801</v>
      </c>
      <c r="H112" s="74"/>
      <c r="I112" s="74"/>
    </row>
    <row r="113">
      <c r="A113" s="77">
        <v>8.0</v>
      </c>
      <c r="B113" s="74" t="s">
        <v>1841</v>
      </c>
      <c r="C113" s="74" t="s">
        <v>1842</v>
      </c>
      <c r="D113" s="74" t="s">
        <v>1843</v>
      </c>
      <c r="E113" s="74"/>
      <c r="F113" s="72" t="s">
        <v>8</v>
      </c>
      <c r="G113" s="74"/>
      <c r="H113" s="74"/>
      <c r="I113" s="74"/>
    </row>
    <row r="114">
      <c r="A114" s="77">
        <v>9.0</v>
      </c>
      <c r="B114" s="74" t="s">
        <v>1844</v>
      </c>
      <c r="C114" s="74" t="s">
        <v>1845</v>
      </c>
      <c r="D114" s="76" t="s">
        <v>1846</v>
      </c>
      <c r="E114" s="74"/>
      <c r="F114" s="72" t="s">
        <v>8</v>
      </c>
      <c r="G114" s="74"/>
      <c r="H114" s="74"/>
      <c r="I114" s="74"/>
    </row>
    <row r="115">
      <c r="A115" s="77">
        <v>10.0</v>
      </c>
      <c r="B115" s="74" t="s">
        <v>1847</v>
      </c>
      <c r="C115" s="74" t="s">
        <v>1503</v>
      </c>
      <c r="D115" s="74" t="s">
        <v>1283</v>
      </c>
      <c r="E115" s="74"/>
      <c r="F115" s="72" t="s">
        <v>8</v>
      </c>
      <c r="G115" s="74"/>
      <c r="H115" s="74"/>
      <c r="I115" s="74"/>
    </row>
    <row r="116">
      <c r="A116" s="77">
        <v>11.0</v>
      </c>
      <c r="B116" s="74" t="s">
        <v>1848</v>
      </c>
      <c r="C116" s="74" t="s">
        <v>1849</v>
      </c>
      <c r="D116" s="74" t="s">
        <v>1501</v>
      </c>
      <c r="E116" s="74"/>
      <c r="F116" s="72" t="s">
        <v>8</v>
      </c>
      <c r="G116" s="74"/>
      <c r="H116" s="74"/>
      <c r="I116" s="74"/>
    </row>
    <row r="117">
      <c r="A117" s="77">
        <v>12.0</v>
      </c>
      <c r="B117" s="74" t="s">
        <v>1850</v>
      </c>
      <c r="C117" s="74" t="s">
        <v>1851</v>
      </c>
      <c r="D117" s="74" t="s">
        <v>1852</v>
      </c>
      <c r="E117" s="74"/>
      <c r="F117" s="72" t="s">
        <v>8</v>
      </c>
      <c r="G117" s="74"/>
      <c r="H117" s="74"/>
      <c r="I117" s="74"/>
    </row>
    <row r="118">
      <c r="A118" s="77">
        <v>13.0</v>
      </c>
      <c r="B118" s="74" t="s">
        <v>1853</v>
      </c>
      <c r="C118" s="74" t="s">
        <v>1264</v>
      </c>
      <c r="D118" s="74" t="s">
        <v>1854</v>
      </c>
      <c r="E118" s="74"/>
      <c r="F118" s="72" t="s">
        <v>8</v>
      </c>
      <c r="G118" s="74"/>
      <c r="H118" s="74"/>
      <c r="I118" s="74"/>
    </row>
    <row r="119">
      <c r="A119" s="77">
        <v>14.0</v>
      </c>
      <c r="B119" s="78" t="s">
        <v>1855</v>
      </c>
      <c r="C119" s="74" t="s">
        <v>1856</v>
      </c>
      <c r="D119" s="74" t="s">
        <v>1188</v>
      </c>
      <c r="E119" s="74"/>
      <c r="F119" s="72" t="s">
        <v>8</v>
      </c>
      <c r="G119" s="74"/>
      <c r="H119" s="74"/>
      <c r="I119" s="74"/>
    </row>
    <row r="120">
      <c r="A120" s="77">
        <v>15.0</v>
      </c>
      <c r="B120" s="74" t="s">
        <v>1135</v>
      </c>
      <c r="C120" s="74" t="s">
        <v>1136</v>
      </c>
      <c r="D120" s="74" t="s">
        <v>1188</v>
      </c>
      <c r="E120" s="74"/>
      <c r="F120" s="72" t="s">
        <v>8</v>
      </c>
      <c r="G120" s="74"/>
      <c r="H120" s="74"/>
      <c r="I120" s="74"/>
    </row>
    <row r="121">
      <c r="A121" s="77">
        <v>16.0</v>
      </c>
      <c r="B121" s="74" t="s">
        <v>682</v>
      </c>
      <c r="C121" s="74" t="s">
        <v>731</v>
      </c>
      <c r="D121" s="74" t="s">
        <v>1188</v>
      </c>
      <c r="E121" s="74"/>
      <c r="F121" s="72" t="s">
        <v>8</v>
      </c>
      <c r="G121" s="74"/>
      <c r="H121" s="74"/>
      <c r="I121" s="74"/>
    </row>
    <row r="122">
      <c r="A122" s="77">
        <v>17.0</v>
      </c>
      <c r="B122" s="74" t="s">
        <v>735</v>
      </c>
      <c r="C122" s="74" t="s">
        <v>1513</v>
      </c>
      <c r="D122" s="74" t="s">
        <v>1188</v>
      </c>
      <c r="E122" s="74"/>
      <c r="F122" s="72" t="s">
        <v>8</v>
      </c>
      <c r="G122" s="74"/>
      <c r="H122" s="74"/>
      <c r="I122" s="74"/>
    </row>
    <row r="123">
      <c r="A123" s="77">
        <v>18.0</v>
      </c>
      <c r="B123" s="74" t="s">
        <v>564</v>
      </c>
      <c r="C123" s="74" t="s">
        <v>565</v>
      </c>
      <c r="D123" s="74" t="s">
        <v>566</v>
      </c>
      <c r="E123" s="74"/>
      <c r="F123" s="72" t="s">
        <v>8</v>
      </c>
      <c r="G123" s="74"/>
      <c r="H123" s="74"/>
      <c r="I123" s="74"/>
    </row>
    <row r="124">
      <c r="A124" s="77">
        <v>19.0</v>
      </c>
      <c r="B124" s="74" t="s">
        <v>1857</v>
      </c>
      <c r="C124" s="74" t="s">
        <v>1858</v>
      </c>
      <c r="D124" s="74" t="s">
        <v>1859</v>
      </c>
      <c r="E124" s="74"/>
      <c r="F124" s="72" t="s">
        <v>8</v>
      </c>
      <c r="G124" s="74"/>
      <c r="H124" s="74"/>
      <c r="I124" s="74"/>
    </row>
    <row r="125">
      <c r="A125" s="77">
        <v>20.0</v>
      </c>
      <c r="B125" s="78" t="s">
        <v>1726</v>
      </c>
      <c r="C125" s="78" t="s">
        <v>1727</v>
      </c>
      <c r="D125" s="78" t="s">
        <v>1728</v>
      </c>
      <c r="E125" s="74"/>
      <c r="F125" s="72" t="s">
        <v>8</v>
      </c>
      <c r="G125" s="74"/>
      <c r="H125" s="74"/>
      <c r="I125" s="74"/>
    </row>
    <row r="126" ht="15.75" customHeight="1">
      <c r="A126" s="66" t="s">
        <v>1860</v>
      </c>
      <c r="B126" s="91"/>
      <c r="C126" s="91"/>
      <c r="D126" s="67"/>
      <c r="E126" s="79"/>
      <c r="F126" s="103"/>
      <c r="G126" s="80"/>
      <c r="H126" s="80"/>
      <c r="I126" s="80"/>
    </row>
    <row r="127">
      <c r="A127" s="77">
        <v>1.0</v>
      </c>
      <c r="B127" s="74" t="s">
        <v>1861</v>
      </c>
      <c r="C127" s="74" t="s">
        <v>1862</v>
      </c>
      <c r="D127" s="74" t="s">
        <v>1863</v>
      </c>
      <c r="E127" s="74"/>
      <c r="F127" s="72" t="s">
        <v>8</v>
      </c>
      <c r="G127" s="74"/>
      <c r="H127" s="74"/>
      <c r="I127" s="74"/>
    </row>
    <row r="128">
      <c r="A128" s="77">
        <v>2.0</v>
      </c>
      <c r="B128" s="74" t="s">
        <v>1864</v>
      </c>
      <c r="C128" s="74" t="s">
        <v>1865</v>
      </c>
      <c r="D128" s="74" t="s">
        <v>1866</v>
      </c>
      <c r="E128" s="74"/>
      <c r="F128" s="72" t="s">
        <v>8</v>
      </c>
      <c r="G128" s="74"/>
      <c r="H128" s="74"/>
      <c r="I128" s="74"/>
    </row>
    <row r="129">
      <c r="A129" s="77">
        <v>3.0</v>
      </c>
      <c r="B129" s="74" t="s">
        <v>1867</v>
      </c>
      <c r="C129" s="74" t="s">
        <v>1264</v>
      </c>
      <c r="D129" s="74" t="s">
        <v>1264</v>
      </c>
      <c r="E129" s="74"/>
      <c r="F129" s="72" t="s">
        <v>8</v>
      </c>
      <c r="G129" s="74"/>
      <c r="H129" s="74"/>
      <c r="I129" s="74"/>
    </row>
    <row r="130">
      <c r="A130" s="77">
        <v>4.0</v>
      </c>
      <c r="B130" s="74" t="s">
        <v>1868</v>
      </c>
      <c r="C130" s="74" t="s">
        <v>1868</v>
      </c>
      <c r="D130" s="74" t="s">
        <v>1188</v>
      </c>
      <c r="E130" s="74"/>
      <c r="F130" s="72" t="s">
        <v>8</v>
      </c>
      <c r="G130" s="74"/>
      <c r="H130" s="74"/>
      <c r="I130" s="74"/>
    </row>
    <row r="131">
      <c r="A131" s="77">
        <v>5.0</v>
      </c>
      <c r="B131" s="74" t="s">
        <v>1188</v>
      </c>
      <c r="C131" s="74" t="s">
        <v>1869</v>
      </c>
      <c r="D131" s="74" t="s">
        <v>1013</v>
      </c>
      <c r="E131" s="74"/>
      <c r="F131" s="72" t="s">
        <v>8</v>
      </c>
      <c r="G131" s="74"/>
      <c r="H131" s="74"/>
      <c r="I131" s="74"/>
    </row>
    <row r="132">
      <c r="A132" s="77">
        <v>6.0</v>
      </c>
      <c r="B132" s="74" t="s">
        <v>1870</v>
      </c>
      <c r="C132" s="74" t="s">
        <v>1870</v>
      </c>
      <c r="D132" s="74" t="s">
        <v>1283</v>
      </c>
      <c r="E132" s="74"/>
      <c r="F132" s="72" t="s">
        <v>8</v>
      </c>
      <c r="G132" s="74"/>
      <c r="H132" s="74"/>
      <c r="I132" s="74"/>
    </row>
    <row r="133">
      <c r="A133" s="77">
        <v>7.0</v>
      </c>
      <c r="B133" s="74" t="s">
        <v>1871</v>
      </c>
      <c r="C133" s="74" t="s">
        <v>1872</v>
      </c>
      <c r="D133" s="74" t="s">
        <v>1501</v>
      </c>
      <c r="E133" s="74"/>
      <c r="F133" s="72" t="s">
        <v>8</v>
      </c>
      <c r="G133" s="74"/>
      <c r="H133" s="74"/>
      <c r="I133" s="74"/>
    </row>
    <row r="134">
      <c r="A134" s="77">
        <v>8.0</v>
      </c>
      <c r="B134" s="74" t="s">
        <v>1873</v>
      </c>
      <c r="C134" s="74" t="s">
        <v>1874</v>
      </c>
      <c r="D134" s="74" t="s">
        <v>1874</v>
      </c>
      <c r="E134" s="74"/>
      <c r="F134" s="72" t="s">
        <v>8</v>
      </c>
      <c r="G134" s="74"/>
      <c r="H134" s="74"/>
      <c r="I134" s="74"/>
    </row>
    <row r="135">
      <c r="A135" s="77">
        <v>9.0</v>
      </c>
      <c r="B135" s="74" t="s">
        <v>1875</v>
      </c>
      <c r="C135" s="74" t="s">
        <v>1876</v>
      </c>
      <c r="D135" s="74" t="s">
        <v>988</v>
      </c>
      <c r="E135" s="76" t="s">
        <v>1877</v>
      </c>
      <c r="F135" s="75" t="s">
        <v>8</v>
      </c>
      <c r="G135" s="76" t="s">
        <v>1878</v>
      </c>
      <c r="H135" s="74"/>
      <c r="I135" s="74"/>
    </row>
    <row r="136">
      <c r="A136" s="77">
        <v>10.0</v>
      </c>
      <c r="B136" s="78" t="s">
        <v>1726</v>
      </c>
      <c r="C136" s="78" t="s">
        <v>1727</v>
      </c>
      <c r="D136" s="78" t="s">
        <v>1728</v>
      </c>
      <c r="E136" s="74"/>
      <c r="F136" s="75" t="s">
        <v>8</v>
      </c>
      <c r="G136" s="74"/>
      <c r="H136" s="74"/>
      <c r="I136" s="74"/>
    </row>
    <row r="137" ht="15.75" customHeight="1">
      <c r="A137" s="66" t="s">
        <v>1879</v>
      </c>
      <c r="B137" s="91"/>
      <c r="C137" s="91"/>
      <c r="D137" s="67"/>
      <c r="E137" s="79"/>
      <c r="F137" s="103"/>
      <c r="G137" s="80"/>
      <c r="H137" s="80"/>
      <c r="I137" s="80"/>
    </row>
    <row r="138">
      <c r="A138" s="77">
        <v>1.0</v>
      </c>
      <c r="B138" s="74" t="s">
        <v>1880</v>
      </c>
      <c r="C138" s="74" t="s">
        <v>1881</v>
      </c>
      <c r="D138" s="74" t="s">
        <v>1882</v>
      </c>
      <c r="E138" s="74"/>
      <c r="F138" s="72" t="s">
        <v>8</v>
      </c>
      <c r="G138" s="74"/>
      <c r="H138" s="74"/>
      <c r="I138" s="74"/>
    </row>
    <row r="139">
      <c r="A139" s="77">
        <v>2.0</v>
      </c>
      <c r="B139" s="74" t="s">
        <v>1883</v>
      </c>
      <c r="C139" s="74" t="s">
        <v>1884</v>
      </c>
      <c r="D139" s="74" t="s">
        <v>1885</v>
      </c>
      <c r="E139" s="74"/>
      <c r="F139" s="72" t="s">
        <v>8</v>
      </c>
      <c r="G139" s="74"/>
      <c r="H139" s="74"/>
      <c r="I139" s="74"/>
    </row>
    <row r="140">
      <c r="A140" s="77">
        <v>3.0</v>
      </c>
      <c r="B140" s="74" t="s">
        <v>1885</v>
      </c>
      <c r="C140" s="74" t="s">
        <v>1886</v>
      </c>
      <c r="D140" s="74" t="s">
        <v>374</v>
      </c>
      <c r="E140" s="74"/>
      <c r="F140" s="72" t="s">
        <v>8</v>
      </c>
      <c r="G140" s="74"/>
      <c r="H140" s="74"/>
      <c r="I140" s="74"/>
    </row>
    <row r="141">
      <c r="A141" s="77">
        <v>4.0</v>
      </c>
      <c r="B141" s="74" t="s">
        <v>374</v>
      </c>
      <c r="C141" s="74" t="s">
        <v>1264</v>
      </c>
      <c r="D141" s="74" t="s">
        <v>1030</v>
      </c>
      <c r="E141" s="74"/>
      <c r="F141" s="72" t="s">
        <v>8</v>
      </c>
      <c r="G141" s="74"/>
      <c r="H141" s="74"/>
      <c r="I141" s="74"/>
    </row>
    <row r="142">
      <c r="A142" s="77">
        <v>5.0</v>
      </c>
      <c r="B142" s="74" t="s">
        <v>1887</v>
      </c>
      <c r="C142" s="74" t="s">
        <v>731</v>
      </c>
      <c r="D142" s="74" t="s">
        <v>1188</v>
      </c>
      <c r="E142" s="74"/>
      <c r="F142" s="72" t="s">
        <v>8</v>
      </c>
      <c r="G142" s="74"/>
      <c r="H142" s="74"/>
      <c r="I142" s="74"/>
    </row>
    <row r="143">
      <c r="A143" s="77">
        <v>6.0</v>
      </c>
      <c r="B143" s="74" t="s">
        <v>1888</v>
      </c>
      <c r="C143" s="74" t="s">
        <v>1889</v>
      </c>
      <c r="D143" s="74" t="s">
        <v>1889</v>
      </c>
      <c r="E143" s="74"/>
      <c r="F143" s="72" t="s">
        <v>8</v>
      </c>
      <c r="G143" s="74"/>
      <c r="H143" s="74"/>
      <c r="I143" s="74"/>
    </row>
    <row r="144">
      <c r="A144" s="77">
        <v>7.0</v>
      </c>
      <c r="B144" s="74" t="s">
        <v>1890</v>
      </c>
      <c r="C144" s="74" t="s">
        <v>1890</v>
      </c>
      <c r="D144" s="74" t="s">
        <v>1283</v>
      </c>
      <c r="E144" s="74"/>
      <c r="F144" s="72" t="s">
        <v>8</v>
      </c>
      <c r="G144" s="74"/>
      <c r="H144" s="74"/>
      <c r="I144" s="74"/>
    </row>
    <row r="145">
      <c r="A145" s="77">
        <v>8.0</v>
      </c>
      <c r="B145" s="74" t="s">
        <v>1891</v>
      </c>
      <c r="C145" s="74" t="s">
        <v>1892</v>
      </c>
      <c r="D145" s="74" t="s">
        <v>1501</v>
      </c>
      <c r="E145" s="74"/>
      <c r="F145" s="72" t="s">
        <v>8</v>
      </c>
      <c r="G145" s="74"/>
      <c r="H145" s="74"/>
      <c r="I145" s="74"/>
    </row>
    <row r="146">
      <c r="A146" s="77">
        <v>9.0</v>
      </c>
      <c r="B146" s="74" t="s">
        <v>1893</v>
      </c>
      <c r="C146" s="74" t="s">
        <v>1894</v>
      </c>
      <c r="D146" s="74" t="s">
        <v>1895</v>
      </c>
      <c r="E146" s="74"/>
      <c r="F146" s="75" t="s">
        <v>8</v>
      </c>
      <c r="G146" s="74"/>
      <c r="H146" s="74"/>
      <c r="I146" s="74"/>
    </row>
    <row r="147">
      <c r="A147" s="77">
        <v>10.0</v>
      </c>
      <c r="B147" s="74" t="s">
        <v>1896</v>
      </c>
      <c r="C147" s="74" t="s">
        <v>1897</v>
      </c>
      <c r="D147" s="74" t="s">
        <v>988</v>
      </c>
      <c r="E147" s="76" t="s">
        <v>1898</v>
      </c>
      <c r="F147" s="75" t="s">
        <v>8</v>
      </c>
      <c r="G147" s="76" t="s">
        <v>1878</v>
      </c>
      <c r="H147" s="74"/>
      <c r="I147" s="74"/>
    </row>
    <row r="148">
      <c r="A148" s="77">
        <v>11.0</v>
      </c>
      <c r="B148" s="78" t="s">
        <v>1726</v>
      </c>
      <c r="C148" s="78" t="s">
        <v>1727</v>
      </c>
      <c r="D148" s="78" t="s">
        <v>1728</v>
      </c>
      <c r="E148" s="74"/>
      <c r="F148" s="72" t="s">
        <v>8</v>
      </c>
      <c r="G148" s="74"/>
      <c r="H148" s="74"/>
      <c r="I148" s="74"/>
    </row>
    <row r="149" ht="15.75" customHeight="1">
      <c r="A149" s="66" t="s">
        <v>1899</v>
      </c>
      <c r="B149" s="91"/>
      <c r="C149" s="91"/>
      <c r="D149" s="67"/>
      <c r="E149" s="79"/>
      <c r="F149" s="103"/>
      <c r="G149" s="80"/>
      <c r="H149" s="80"/>
      <c r="I149" s="80"/>
    </row>
    <row r="150">
      <c r="A150" s="77">
        <v>1.0</v>
      </c>
      <c r="B150" s="74" t="s">
        <v>1900</v>
      </c>
      <c r="C150" s="74" t="s">
        <v>1901</v>
      </c>
      <c r="D150" s="74" t="s">
        <v>1902</v>
      </c>
      <c r="E150" s="74"/>
      <c r="F150" s="72" t="s">
        <v>8</v>
      </c>
      <c r="G150" s="74"/>
      <c r="H150" s="74"/>
      <c r="I150" s="74"/>
    </row>
    <row r="151">
      <c r="A151" s="77">
        <v>2.0</v>
      </c>
      <c r="B151" s="74" t="s">
        <v>1903</v>
      </c>
      <c r="C151" s="74" t="s">
        <v>1904</v>
      </c>
      <c r="D151" s="74" t="s">
        <v>1905</v>
      </c>
      <c r="E151" s="74"/>
      <c r="F151" s="72" t="s">
        <v>8</v>
      </c>
      <c r="G151" s="74"/>
      <c r="H151" s="74"/>
      <c r="I151" s="74"/>
    </row>
    <row r="152">
      <c r="A152" s="77">
        <v>3.0</v>
      </c>
      <c r="B152" s="74" t="s">
        <v>1906</v>
      </c>
      <c r="C152" s="74" t="s">
        <v>1907</v>
      </c>
      <c r="D152" s="74" t="s">
        <v>1907</v>
      </c>
      <c r="E152" s="74"/>
      <c r="F152" s="72" t="s">
        <v>8</v>
      </c>
      <c r="G152" s="74"/>
      <c r="H152" s="74"/>
      <c r="I152" s="74"/>
    </row>
    <row r="153">
      <c r="A153" s="77">
        <v>4.0</v>
      </c>
      <c r="B153" s="74" t="s">
        <v>1908</v>
      </c>
      <c r="C153" s="74" t="s">
        <v>1909</v>
      </c>
      <c r="D153" s="74" t="s">
        <v>374</v>
      </c>
      <c r="E153" s="74"/>
      <c r="F153" s="72" t="s">
        <v>8</v>
      </c>
      <c r="G153" s="74"/>
      <c r="H153" s="74"/>
      <c r="I153" s="74"/>
    </row>
    <row r="154">
      <c r="A154" s="77">
        <v>5.0</v>
      </c>
      <c r="B154" s="74" t="s">
        <v>1910</v>
      </c>
      <c r="C154" s="74" t="s">
        <v>1911</v>
      </c>
      <c r="D154" s="74" t="s">
        <v>374</v>
      </c>
      <c r="E154" s="74"/>
      <c r="F154" s="72" t="s">
        <v>8</v>
      </c>
      <c r="G154" s="74"/>
      <c r="H154" s="74"/>
      <c r="I154" s="74"/>
    </row>
    <row r="155">
      <c r="A155" s="77">
        <v>6.0</v>
      </c>
      <c r="B155" s="74" t="s">
        <v>1912</v>
      </c>
      <c r="C155" s="74" t="s">
        <v>1913</v>
      </c>
      <c r="D155" s="74" t="s">
        <v>374</v>
      </c>
      <c r="E155" s="74"/>
      <c r="F155" s="72" t="s">
        <v>8</v>
      </c>
      <c r="G155" s="74"/>
      <c r="H155" s="74"/>
      <c r="I155" s="74"/>
    </row>
    <row r="156">
      <c r="A156" s="77">
        <v>7.0</v>
      </c>
      <c r="B156" s="74" t="s">
        <v>1914</v>
      </c>
      <c r="C156" s="74" t="s">
        <v>1915</v>
      </c>
      <c r="D156" s="74" t="s">
        <v>374</v>
      </c>
      <c r="E156" s="74"/>
      <c r="F156" s="72" t="s">
        <v>8</v>
      </c>
      <c r="G156" s="74"/>
      <c r="H156" s="74"/>
      <c r="I156" s="74"/>
    </row>
    <row r="157">
      <c r="A157" s="77">
        <v>8.0</v>
      </c>
      <c r="B157" s="74" t="s">
        <v>1916</v>
      </c>
      <c r="C157" s="74" t="s">
        <v>1917</v>
      </c>
      <c r="D157" s="74" t="s">
        <v>1588</v>
      </c>
      <c r="E157" s="74"/>
      <c r="F157" s="72" t="s">
        <v>8</v>
      </c>
      <c r="G157" s="74"/>
      <c r="H157" s="74"/>
      <c r="I157" s="74"/>
    </row>
    <row r="158">
      <c r="A158" s="77">
        <v>9.0</v>
      </c>
      <c r="B158" s="74" t="s">
        <v>1918</v>
      </c>
      <c r="C158" s="74" t="s">
        <v>1919</v>
      </c>
      <c r="D158" s="74" t="s">
        <v>1588</v>
      </c>
      <c r="E158" s="74"/>
      <c r="F158" s="72" t="s">
        <v>8</v>
      </c>
      <c r="G158" s="74"/>
      <c r="H158" s="74"/>
      <c r="I158" s="74"/>
    </row>
    <row r="159">
      <c r="A159" s="77">
        <v>10.0</v>
      </c>
      <c r="B159" s="74" t="s">
        <v>1920</v>
      </c>
      <c r="C159" s="74" t="s">
        <v>1921</v>
      </c>
      <c r="D159" s="74" t="s">
        <v>1922</v>
      </c>
      <c r="E159" s="74"/>
      <c r="F159" s="72" t="s">
        <v>8</v>
      </c>
      <c r="G159" s="74"/>
      <c r="H159" s="74"/>
      <c r="I159" s="74"/>
    </row>
    <row r="160">
      <c r="A160" s="77">
        <v>11.0</v>
      </c>
      <c r="B160" s="74" t="s">
        <v>1923</v>
      </c>
      <c r="C160" s="74" t="s">
        <v>1503</v>
      </c>
      <c r="D160" s="74" t="s">
        <v>1283</v>
      </c>
      <c r="E160" s="74"/>
      <c r="F160" s="72" t="s">
        <v>8</v>
      </c>
      <c r="G160" s="74"/>
      <c r="H160" s="74"/>
      <c r="I160" s="74"/>
    </row>
    <row r="161">
      <c r="A161" s="77">
        <v>12.0</v>
      </c>
      <c r="B161" s="74" t="s">
        <v>1924</v>
      </c>
      <c r="C161" s="74" t="s">
        <v>1925</v>
      </c>
      <c r="D161" s="74" t="s">
        <v>1501</v>
      </c>
      <c r="E161" s="74"/>
      <c r="F161" s="72" t="s">
        <v>8</v>
      </c>
      <c r="G161" s="74"/>
      <c r="H161" s="74"/>
      <c r="I161" s="74"/>
    </row>
    <row r="162">
      <c r="A162" s="77">
        <v>13.0</v>
      </c>
      <c r="B162" s="74" t="s">
        <v>1926</v>
      </c>
      <c r="C162" s="74" t="s">
        <v>1177</v>
      </c>
      <c r="D162" s="74" t="s">
        <v>1927</v>
      </c>
      <c r="E162" s="74"/>
      <c r="F162" s="72" t="s">
        <v>8</v>
      </c>
      <c r="G162" s="74"/>
      <c r="H162" s="74"/>
      <c r="I162" s="74"/>
    </row>
    <row r="163">
      <c r="A163" s="77">
        <v>14.0</v>
      </c>
      <c r="B163" s="74" t="s">
        <v>1928</v>
      </c>
      <c r="C163" s="74" t="s">
        <v>1683</v>
      </c>
      <c r="D163" s="74" t="s">
        <v>1929</v>
      </c>
      <c r="E163" s="74"/>
      <c r="F163" s="72" t="s">
        <v>8</v>
      </c>
      <c r="G163" s="74"/>
      <c r="H163" s="74"/>
      <c r="I163" s="74"/>
    </row>
    <row r="164">
      <c r="A164" s="77">
        <v>15.0</v>
      </c>
      <c r="B164" s="74" t="s">
        <v>1930</v>
      </c>
      <c r="C164" s="74" t="s">
        <v>1931</v>
      </c>
      <c r="D164" s="74" t="s">
        <v>1188</v>
      </c>
      <c r="E164" s="74"/>
      <c r="F164" s="72" t="s">
        <v>8</v>
      </c>
      <c r="G164" s="74"/>
      <c r="H164" s="74"/>
      <c r="I164" s="74"/>
    </row>
    <row r="165">
      <c r="A165" s="77">
        <v>16.0</v>
      </c>
      <c r="B165" s="74" t="s">
        <v>1932</v>
      </c>
      <c r="C165" s="74" t="s">
        <v>1933</v>
      </c>
      <c r="D165" s="74" t="s">
        <v>1188</v>
      </c>
      <c r="E165" s="74"/>
      <c r="F165" s="72" t="s">
        <v>8</v>
      </c>
      <c r="G165" s="74"/>
      <c r="H165" s="74"/>
      <c r="I165" s="74"/>
    </row>
    <row r="166">
      <c r="A166" s="77">
        <v>17.0</v>
      </c>
      <c r="B166" s="74" t="s">
        <v>682</v>
      </c>
      <c r="C166" s="74" t="s">
        <v>731</v>
      </c>
      <c r="D166" s="74" t="s">
        <v>1188</v>
      </c>
      <c r="E166" s="74"/>
      <c r="F166" s="72" t="s">
        <v>8</v>
      </c>
      <c r="G166" s="74"/>
      <c r="H166" s="74"/>
      <c r="I166" s="74"/>
    </row>
    <row r="167">
      <c r="A167" s="77">
        <v>18.0</v>
      </c>
      <c r="B167" s="74" t="s">
        <v>735</v>
      </c>
      <c r="C167" s="74" t="s">
        <v>1513</v>
      </c>
      <c r="D167" s="74" t="s">
        <v>1188</v>
      </c>
      <c r="E167" s="74"/>
      <c r="F167" s="72" t="s">
        <v>8</v>
      </c>
      <c r="G167" s="74"/>
      <c r="H167" s="74"/>
      <c r="I167" s="74"/>
    </row>
    <row r="168">
      <c r="A168" s="77">
        <v>19.0</v>
      </c>
      <c r="B168" s="74" t="s">
        <v>564</v>
      </c>
      <c r="C168" s="74" t="s">
        <v>565</v>
      </c>
      <c r="D168" s="74" t="s">
        <v>566</v>
      </c>
      <c r="E168" s="74"/>
      <c r="F168" s="72" t="s">
        <v>8</v>
      </c>
      <c r="G168" s="74"/>
      <c r="H168" s="74"/>
      <c r="I168" s="74"/>
    </row>
    <row r="169">
      <c r="A169" s="77">
        <v>20.0</v>
      </c>
      <c r="B169" s="74" t="s">
        <v>1857</v>
      </c>
      <c r="C169" s="74" t="s">
        <v>1858</v>
      </c>
      <c r="D169" s="74" t="s">
        <v>1859</v>
      </c>
      <c r="E169" s="74"/>
      <c r="F169" s="72" t="s">
        <v>8</v>
      </c>
      <c r="G169" s="74"/>
      <c r="H169" s="74"/>
      <c r="I169" s="74"/>
    </row>
    <row r="170">
      <c r="A170" s="77">
        <v>21.0</v>
      </c>
      <c r="B170" s="78" t="s">
        <v>1726</v>
      </c>
      <c r="C170" s="78" t="s">
        <v>1727</v>
      </c>
      <c r="D170" s="78" t="s">
        <v>1728</v>
      </c>
      <c r="E170" s="74"/>
      <c r="F170" s="72" t="s">
        <v>8</v>
      </c>
      <c r="G170" s="74"/>
      <c r="H170" s="74"/>
      <c r="I170" s="74"/>
    </row>
    <row r="171" ht="15.75" customHeight="1">
      <c r="A171" s="66" t="s">
        <v>1934</v>
      </c>
      <c r="B171" s="91"/>
      <c r="C171" s="91"/>
      <c r="D171" s="67"/>
      <c r="E171" s="79"/>
      <c r="F171" s="103"/>
      <c r="G171" s="80"/>
      <c r="H171" s="80"/>
      <c r="I171" s="80"/>
    </row>
    <row r="172">
      <c r="A172" s="77">
        <v>1.0</v>
      </c>
      <c r="B172" s="74" t="s">
        <v>1935</v>
      </c>
      <c r="C172" s="74" t="s">
        <v>1936</v>
      </c>
      <c r="D172" s="74" t="s">
        <v>1937</v>
      </c>
      <c r="E172" s="74"/>
      <c r="F172" s="72" t="s">
        <v>8</v>
      </c>
      <c r="G172" s="74"/>
      <c r="H172" s="74"/>
      <c r="I172" s="74"/>
    </row>
    <row r="173">
      <c r="A173" s="77">
        <v>2.0</v>
      </c>
      <c r="B173" s="74" t="s">
        <v>1938</v>
      </c>
      <c r="C173" s="74" t="s">
        <v>1939</v>
      </c>
      <c r="D173" s="74" t="s">
        <v>1940</v>
      </c>
      <c r="E173" s="74"/>
      <c r="F173" s="72" t="s">
        <v>8</v>
      </c>
      <c r="G173" s="74"/>
      <c r="H173" s="74"/>
      <c r="I173" s="74"/>
    </row>
    <row r="174">
      <c r="A174" s="77">
        <v>3.0</v>
      </c>
      <c r="B174" s="74" t="s">
        <v>1941</v>
      </c>
      <c r="C174" s="74" t="s">
        <v>1941</v>
      </c>
      <c r="D174" s="74" t="s">
        <v>374</v>
      </c>
      <c r="E174" s="74"/>
      <c r="F174" s="72" t="s">
        <v>8</v>
      </c>
      <c r="G174" s="74"/>
      <c r="H174" s="74"/>
      <c r="I174" s="74"/>
    </row>
    <row r="175">
      <c r="A175" s="77">
        <v>4.0</v>
      </c>
      <c r="B175" s="74" t="s">
        <v>374</v>
      </c>
      <c r="C175" s="74" t="s">
        <v>1942</v>
      </c>
      <c r="D175" s="74" t="s">
        <v>374</v>
      </c>
      <c r="E175" s="74"/>
      <c r="F175" s="72" t="s">
        <v>8</v>
      </c>
      <c r="G175" s="74"/>
      <c r="H175" s="74"/>
      <c r="I175" s="74"/>
    </row>
    <row r="176">
      <c r="A176" s="77">
        <v>5.0</v>
      </c>
      <c r="B176" s="74" t="s">
        <v>1943</v>
      </c>
      <c r="C176" s="74" t="s">
        <v>1264</v>
      </c>
      <c r="D176" s="74" t="s">
        <v>1944</v>
      </c>
      <c r="E176" s="74"/>
      <c r="F176" s="72" t="s">
        <v>8</v>
      </c>
      <c r="G176" s="74"/>
      <c r="H176" s="74"/>
      <c r="I176" s="74"/>
    </row>
    <row r="177">
      <c r="A177" s="77">
        <v>6.0</v>
      </c>
      <c r="B177" s="74" t="s">
        <v>1943</v>
      </c>
      <c r="C177" s="74" t="s">
        <v>1264</v>
      </c>
      <c r="D177" s="74" t="s">
        <v>1188</v>
      </c>
      <c r="E177" s="74"/>
      <c r="F177" s="72" t="s">
        <v>8</v>
      </c>
      <c r="G177" s="74"/>
      <c r="H177" s="74"/>
      <c r="I177" s="74"/>
    </row>
    <row r="178">
      <c r="A178" s="77">
        <v>7.0</v>
      </c>
      <c r="B178" s="74" t="s">
        <v>1945</v>
      </c>
      <c r="C178" s="74" t="s">
        <v>1946</v>
      </c>
      <c r="D178" s="74" t="s">
        <v>1013</v>
      </c>
      <c r="E178" s="74"/>
      <c r="F178" s="72" t="s">
        <v>8</v>
      </c>
      <c r="G178" s="74"/>
      <c r="H178" s="74"/>
      <c r="I178" s="74"/>
    </row>
    <row r="179">
      <c r="A179" s="77">
        <v>8.0</v>
      </c>
      <c r="B179" s="74" t="s">
        <v>1947</v>
      </c>
      <c r="C179" s="74" t="s">
        <v>1503</v>
      </c>
      <c r="D179" s="74" t="s">
        <v>1503</v>
      </c>
      <c r="E179" s="74"/>
      <c r="F179" s="72" t="s">
        <v>8</v>
      </c>
      <c r="G179" s="74"/>
      <c r="H179" s="74"/>
      <c r="I179" s="74"/>
    </row>
    <row r="180">
      <c r="A180" s="77">
        <v>9.0</v>
      </c>
      <c r="B180" s="74" t="s">
        <v>1948</v>
      </c>
      <c r="C180" s="74" t="s">
        <v>1948</v>
      </c>
      <c r="D180" s="74" t="s">
        <v>1949</v>
      </c>
      <c r="E180" s="74"/>
      <c r="F180" s="72" t="s">
        <v>8</v>
      </c>
      <c r="G180" s="74"/>
      <c r="H180" s="74"/>
      <c r="I180" s="74"/>
    </row>
    <row r="181">
      <c r="A181" s="77">
        <v>10.0</v>
      </c>
      <c r="B181" s="74" t="s">
        <v>1950</v>
      </c>
      <c r="C181" s="74" t="s">
        <v>1950</v>
      </c>
      <c r="D181" s="74" t="s">
        <v>1895</v>
      </c>
      <c r="E181" s="74"/>
      <c r="F181" s="72" t="s">
        <v>8</v>
      </c>
      <c r="G181" s="74"/>
      <c r="H181" s="74"/>
      <c r="I181" s="74"/>
    </row>
    <row r="182">
      <c r="A182" s="77">
        <v>11.0</v>
      </c>
      <c r="B182" s="74" t="s">
        <v>1951</v>
      </c>
      <c r="C182" s="74" t="s">
        <v>1952</v>
      </c>
      <c r="D182" s="74" t="s">
        <v>1953</v>
      </c>
      <c r="E182" s="74"/>
      <c r="F182" s="72" t="s">
        <v>8</v>
      </c>
      <c r="G182" s="74"/>
      <c r="H182" s="74"/>
      <c r="I182" s="74"/>
    </row>
    <row r="183">
      <c r="A183" s="77">
        <v>12.0</v>
      </c>
      <c r="B183" s="78" t="s">
        <v>1726</v>
      </c>
      <c r="C183" s="78" t="s">
        <v>1727</v>
      </c>
      <c r="D183" s="78" t="s">
        <v>1728</v>
      </c>
      <c r="E183" s="74"/>
      <c r="F183" s="72" t="s">
        <v>8</v>
      </c>
      <c r="G183" s="74"/>
      <c r="H183" s="74"/>
      <c r="I183" s="74"/>
    </row>
    <row r="184" ht="15.75" customHeight="1">
      <c r="A184" s="66" t="s">
        <v>1954</v>
      </c>
      <c r="B184" s="91"/>
      <c r="C184" s="91"/>
      <c r="D184" s="67"/>
      <c r="E184" s="79"/>
      <c r="F184" s="103"/>
      <c r="G184" s="80"/>
      <c r="H184" s="80"/>
      <c r="I184" s="80"/>
    </row>
    <row r="185">
      <c r="A185" s="77">
        <v>1.0</v>
      </c>
      <c r="B185" s="74" t="s">
        <v>1955</v>
      </c>
      <c r="C185" s="74" t="s">
        <v>1956</v>
      </c>
      <c r="D185" s="74" t="s">
        <v>1957</v>
      </c>
      <c r="E185" s="74"/>
      <c r="F185" s="72" t="s">
        <v>8</v>
      </c>
      <c r="G185" s="74"/>
      <c r="H185" s="74"/>
      <c r="I185" s="74"/>
    </row>
    <row r="186">
      <c r="A186" s="77">
        <v>2.0</v>
      </c>
      <c r="B186" s="74" t="s">
        <v>1958</v>
      </c>
      <c r="C186" s="74" t="s">
        <v>1959</v>
      </c>
      <c r="D186" s="74" t="s">
        <v>1960</v>
      </c>
      <c r="E186" s="74"/>
      <c r="F186" s="72" t="s">
        <v>8</v>
      </c>
      <c r="G186" s="74"/>
      <c r="H186" s="74"/>
      <c r="I186" s="74"/>
    </row>
    <row r="187">
      <c r="A187" s="77">
        <v>3.0</v>
      </c>
      <c r="B187" s="74" t="s">
        <v>1960</v>
      </c>
      <c r="C187" s="74" t="s">
        <v>1961</v>
      </c>
      <c r="D187" s="74" t="s">
        <v>374</v>
      </c>
      <c r="E187" s="74"/>
      <c r="F187" s="72" t="s">
        <v>8</v>
      </c>
      <c r="G187" s="74"/>
      <c r="H187" s="74"/>
      <c r="I187" s="74"/>
    </row>
    <row r="188">
      <c r="A188" s="77">
        <v>4.0</v>
      </c>
      <c r="B188" s="74" t="s">
        <v>1962</v>
      </c>
      <c r="C188" s="74" t="s">
        <v>1963</v>
      </c>
      <c r="D188" s="74" t="s">
        <v>374</v>
      </c>
      <c r="E188" s="74"/>
      <c r="F188" s="72" t="s">
        <v>8</v>
      </c>
      <c r="G188" s="74"/>
      <c r="H188" s="74"/>
      <c r="I188" s="74"/>
    </row>
    <row r="189">
      <c r="A189" s="77">
        <v>5.0</v>
      </c>
      <c r="B189" s="74" t="s">
        <v>1964</v>
      </c>
      <c r="C189" s="74" t="s">
        <v>1965</v>
      </c>
      <c r="D189" s="74" t="s">
        <v>698</v>
      </c>
      <c r="E189" s="74"/>
      <c r="F189" s="72" t="s">
        <v>8</v>
      </c>
      <c r="G189" s="74"/>
      <c r="H189" s="74"/>
      <c r="I189" s="74"/>
    </row>
    <row r="190">
      <c r="A190" s="77">
        <v>6.0</v>
      </c>
      <c r="B190" s="74" t="s">
        <v>1966</v>
      </c>
      <c r="C190" s="74" t="s">
        <v>1967</v>
      </c>
      <c r="D190" s="74" t="s">
        <v>1968</v>
      </c>
      <c r="E190" s="74"/>
      <c r="F190" s="72" t="s">
        <v>8</v>
      </c>
      <c r="G190" s="74"/>
      <c r="H190" s="74"/>
      <c r="I190" s="74"/>
    </row>
    <row r="191">
      <c r="A191" s="77">
        <v>7.0</v>
      </c>
      <c r="B191" s="74" t="s">
        <v>1969</v>
      </c>
      <c r="C191" s="74" t="s">
        <v>1970</v>
      </c>
      <c r="D191" s="74" t="s">
        <v>374</v>
      </c>
      <c r="E191" s="74"/>
      <c r="F191" s="72" t="s">
        <v>8</v>
      </c>
      <c r="G191" s="74"/>
      <c r="H191" s="74"/>
      <c r="I191" s="74"/>
    </row>
    <row r="192">
      <c r="A192" s="77">
        <v>8.0</v>
      </c>
      <c r="B192" s="74" t="s">
        <v>1971</v>
      </c>
      <c r="C192" s="74" t="s">
        <v>1972</v>
      </c>
      <c r="D192" s="74" t="s">
        <v>374</v>
      </c>
      <c r="E192" s="74"/>
      <c r="F192" s="72" t="s">
        <v>8</v>
      </c>
      <c r="G192" s="74"/>
      <c r="H192" s="74"/>
      <c r="I192" s="74"/>
    </row>
    <row r="193">
      <c r="A193" s="77">
        <v>9.0</v>
      </c>
      <c r="B193" s="74" t="s">
        <v>1973</v>
      </c>
      <c r="C193" s="74" t="s">
        <v>1972</v>
      </c>
      <c r="D193" s="74" t="s">
        <v>374</v>
      </c>
      <c r="E193" s="74"/>
      <c r="F193" s="72" t="s">
        <v>8</v>
      </c>
      <c r="G193" s="74"/>
      <c r="H193" s="74"/>
      <c r="I193" s="74"/>
    </row>
    <row r="194">
      <c r="A194" s="77">
        <v>10.0</v>
      </c>
      <c r="B194" s="74" t="s">
        <v>1974</v>
      </c>
      <c r="C194" s="74" t="s">
        <v>1975</v>
      </c>
      <c r="D194" s="74" t="s">
        <v>1975</v>
      </c>
      <c r="E194" s="74"/>
      <c r="F194" s="72" t="s">
        <v>8</v>
      </c>
      <c r="G194" s="74"/>
      <c r="H194" s="74"/>
      <c r="I194" s="74"/>
    </row>
    <row r="195">
      <c r="A195" s="77">
        <v>11.0</v>
      </c>
      <c r="B195" s="74" t="s">
        <v>1976</v>
      </c>
      <c r="C195" s="74" t="s">
        <v>1503</v>
      </c>
      <c r="D195" s="74" t="s">
        <v>1283</v>
      </c>
      <c r="E195" s="74"/>
      <c r="F195" s="72" t="s">
        <v>8</v>
      </c>
      <c r="G195" s="74"/>
      <c r="H195" s="74"/>
      <c r="I195" s="74"/>
    </row>
    <row r="196">
      <c r="A196" s="77">
        <v>12.0</v>
      </c>
      <c r="B196" s="74" t="s">
        <v>1283</v>
      </c>
      <c r="C196" s="74" t="s">
        <v>1977</v>
      </c>
      <c r="D196" s="74" t="s">
        <v>1978</v>
      </c>
      <c r="E196" s="74"/>
      <c r="F196" s="72" t="s">
        <v>8</v>
      </c>
      <c r="G196" s="74"/>
      <c r="H196" s="74"/>
      <c r="I196" s="74"/>
    </row>
    <row r="197">
      <c r="A197" s="77">
        <v>13.0</v>
      </c>
      <c r="B197" s="74" t="s">
        <v>1979</v>
      </c>
      <c r="C197" s="74" t="s">
        <v>1264</v>
      </c>
      <c r="D197" s="74" t="s">
        <v>1980</v>
      </c>
      <c r="E197" s="74"/>
      <c r="F197" s="72" t="s">
        <v>8</v>
      </c>
      <c r="G197" s="74"/>
      <c r="H197" s="74"/>
      <c r="I197" s="74"/>
    </row>
    <row r="198">
      <c r="A198" s="77">
        <v>14.0</v>
      </c>
      <c r="B198" s="74" t="s">
        <v>682</v>
      </c>
      <c r="C198" s="74" t="s">
        <v>731</v>
      </c>
      <c r="D198" s="74" t="s">
        <v>1188</v>
      </c>
      <c r="E198" s="74"/>
      <c r="F198" s="72" t="s">
        <v>8</v>
      </c>
      <c r="G198" s="74"/>
      <c r="H198" s="74"/>
      <c r="I198" s="74"/>
    </row>
    <row r="199">
      <c r="A199" s="77">
        <v>15.0</v>
      </c>
      <c r="B199" s="74" t="s">
        <v>1981</v>
      </c>
      <c r="C199" s="74" t="s">
        <v>1982</v>
      </c>
      <c r="D199" s="74" t="s">
        <v>1188</v>
      </c>
      <c r="E199" s="74"/>
      <c r="F199" s="72" t="s">
        <v>8</v>
      </c>
      <c r="G199" s="74"/>
      <c r="H199" s="74"/>
      <c r="I199" s="74"/>
    </row>
    <row r="200">
      <c r="A200" s="77">
        <v>16.0</v>
      </c>
      <c r="B200" s="74" t="s">
        <v>1981</v>
      </c>
      <c r="C200" s="74" t="s">
        <v>1983</v>
      </c>
      <c r="D200" s="74" t="s">
        <v>1188</v>
      </c>
      <c r="E200" s="74"/>
      <c r="F200" s="72" t="s">
        <v>8</v>
      </c>
      <c r="G200" s="74"/>
      <c r="H200" s="74"/>
      <c r="I200" s="74"/>
    </row>
    <row r="201">
      <c r="A201" s="77">
        <v>17.0</v>
      </c>
      <c r="B201" s="74" t="s">
        <v>735</v>
      </c>
      <c r="C201" s="74" t="s">
        <v>1513</v>
      </c>
      <c r="D201" s="74" t="s">
        <v>1188</v>
      </c>
      <c r="E201" s="74"/>
      <c r="F201" s="72" t="s">
        <v>8</v>
      </c>
      <c r="G201" s="74"/>
      <c r="H201" s="74"/>
      <c r="I201" s="74"/>
    </row>
    <row r="202">
      <c r="A202" s="77">
        <v>18.0</v>
      </c>
      <c r="B202" s="74" t="s">
        <v>564</v>
      </c>
      <c r="C202" s="74" t="s">
        <v>565</v>
      </c>
      <c r="D202" s="74" t="s">
        <v>566</v>
      </c>
      <c r="E202" s="74"/>
      <c r="F202" s="75" t="s">
        <v>8</v>
      </c>
      <c r="G202" s="74"/>
      <c r="H202" s="74"/>
      <c r="I202" s="74"/>
    </row>
    <row r="203">
      <c r="A203" s="77">
        <v>19.0</v>
      </c>
      <c r="B203" s="78" t="s">
        <v>1726</v>
      </c>
      <c r="C203" s="78" t="s">
        <v>1727</v>
      </c>
      <c r="D203" s="78" t="s">
        <v>1728</v>
      </c>
      <c r="E203" s="74"/>
      <c r="F203" s="75" t="s">
        <v>8</v>
      </c>
      <c r="G203" s="74"/>
      <c r="H203" s="74"/>
      <c r="I203" s="74"/>
    </row>
    <row r="204">
      <c r="A204" s="77">
        <v>20.0</v>
      </c>
      <c r="B204" s="74" t="s">
        <v>1857</v>
      </c>
      <c r="C204" s="74" t="s">
        <v>1147</v>
      </c>
      <c r="D204" s="74" t="s">
        <v>1859</v>
      </c>
      <c r="E204" s="74"/>
      <c r="F204" s="72" t="s">
        <v>8</v>
      </c>
      <c r="G204" s="74"/>
      <c r="H204" s="74"/>
      <c r="I204" s="74"/>
    </row>
    <row r="205">
      <c r="A205" s="77">
        <v>21.0</v>
      </c>
      <c r="B205" s="71" t="s">
        <v>1984</v>
      </c>
      <c r="C205" s="71" t="s">
        <v>748</v>
      </c>
      <c r="D205" s="71" t="s">
        <v>1985</v>
      </c>
      <c r="E205" s="74" t="s">
        <v>1986</v>
      </c>
      <c r="F205" s="72" t="s">
        <v>9</v>
      </c>
      <c r="G205" s="74"/>
      <c r="H205" s="74"/>
      <c r="I205" s="74"/>
    </row>
    <row r="206">
      <c r="A206" s="77">
        <v>22.0</v>
      </c>
      <c r="B206" s="71" t="s">
        <v>1987</v>
      </c>
      <c r="C206" s="71" t="s">
        <v>1988</v>
      </c>
      <c r="D206" s="71" t="s">
        <v>1989</v>
      </c>
      <c r="E206" s="74"/>
      <c r="F206" s="72" t="s">
        <v>8</v>
      </c>
      <c r="G206" s="74"/>
      <c r="H206" s="74"/>
      <c r="I206" s="74"/>
    </row>
    <row r="207" ht="15.75" customHeight="1">
      <c r="A207" s="66" t="s">
        <v>1990</v>
      </c>
      <c r="B207" s="91"/>
      <c r="C207" s="91"/>
      <c r="D207" s="67"/>
      <c r="E207" s="79"/>
      <c r="F207" s="103"/>
      <c r="G207" s="80"/>
      <c r="H207" s="80"/>
      <c r="I207" s="80"/>
    </row>
    <row r="208">
      <c r="A208" s="77">
        <v>1.0</v>
      </c>
      <c r="B208" s="74" t="s">
        <v>1991</v>
      </c>
      <c r="C208" s="74" t="s">
        <v>1992</v>
      </c>
      <c r="D208" s="74" t="s">
        <v>1993</v>
      </c>
      <c r="E208" s="74"/>
      <c r="F208" s="72" t="s">
        <v>8</v>
      </c>
      <c r="G208" s="74"/>
      <c r="H208" s="74"/>
      <c r="I208" s="74"/>
    </row>
    <row r="209">
      <c r="A209" s="77">
        <v>2.0</v>
      </c>
      <c r="B209" s="74" t="s">
        <v>1994</v>
      </c>
      <c r="C209" s="74" t="s">
        <v>1995</v>
      </c>
      <c r="D209" s="74" t="s">
        <v>1996</v>
      </c>
      <c r="E209" s="74"/>
      <c r="F209" s="72" t="s">
        <v>8</v>
      </c>
      <c r="G209" s="74"/>
      <c r="H209" s="74"/>
      <c r="I209" s="74"/>
    </row>
    <row r="210">
      <c r="A210" s="77">
        <v>3.0</v>
      </c>
      <c r="B210" s="74" t="s">
        <v>1997</v>
      </c>
      <c r="C210" s="74" t="s">
        <v>1998</v>
      </c>
      <c r="D210" s="74" t="s">
        <v>374</v>
      </c>
      <c r="E210" s="74"/>
      <c r="F210" s="72" t="s">
        <v>8</v>
      </c>
      <c r="G210" s="74"/>
      <c r="H210" s="74"/>
      <c r="I210" s="74"/>
    </row>
    <row r="211">
      <c r="A211" s="77">
        <v>4.0</v>
      </c>
      <c r="B211" s="74" t="s">
        <v>1160</v>
      </c>
      <c r="C211" s="74" t="s">
        <v>1999</v>
      </c>
      <c r="D211" s="74" t="s">
        <v>374</v>
      </c>
      <c r="E211" s="74"/>
      <c r="F211" s="72" t="s">
        <v>8</v>
      </c>
      <c r="G211" s="74"/>
      <c r="H211" s="74"/>
      <c r="I211" s="74"/>
    </row>
    <row r="212">
      <c r="A212" s="77">
        <v>5.0</v>
      </c>
      <c r="B212" s="74" t="s">
        <v>2000</v>
      </c>
      <c r="C212" s="74" t="s">
        <v>1913</v>
      </c>
      <c r="D212" s="74" t="s">
        <v>374</v>
      </c>
      <c r="E212" s="74"/>
      <c r="F212" s="72" t="s">
        <v>8</v>
      </c>
      <c r="G212" s="74"/>
      <c r="H212" s="74"/>
      <c r="I212" s="74"/>
    </row>
    <row r="213">
      <c r="A213" s="77">
        <v>6.0</v>
      </c>
      <c r="B213" s="74" t="s">
        <v>2001</v>
      </c>
      <c r="C213" s="74" t="s">
        <v>1917</v>
      </c>
      <c r="D213" s="74" t="s">
        <v>374</v>
      </c>
      <c r="E213" s="74"/>
      <c r="F213" s="72" t="s">
        <v>8</v>
      </c>
      <c r="G213" s="74"/>
      <c r="H213" s="74"/>
      <c r="I213" s="74"/>
    </row>
    <row r="214">
      <c r="A214" s="77">
        <v>7.0</v>
      </c>
      <c r="B214" s="74" t="s">
        <v>2002</v>
      </c>
      <c r="C214" s="74" t="s">
        <v>2003</v>
      </c>
      <c r="D214" s="74" t="s">
        <v>2004</v>
      </c>
      <c r="E214" s="74"/>
      <c r="F214" s="72" t="s">
        <v>8</v>
      </c>
      <c r="G214" s="74"/>
      <c r="H214" s="74"/>
      <c r="I214" s="74"/>
    </row>
    <row r="215">
      <c r="A215" s="77">
        <v>8.0</v>
      </c>
      <c r="B215" s="74" t="s">
        <v>2005</v>
      </c>
      <c r="C215" s="74" t="s">
        <v>1503</v>
      </c>
      <c r="D215" s="74" t="s">
        <v>1283</v>
      </c>
      <c r="E215" s="74"/>
      <c r="F215" s="72" t="s">
        <v>8</v>
      </c>
      <c r="G215" s="74"/>
      <c r="H215" s="74"/>
      <c r="I215" s="74"/>
    </row>
    <row r="216">
      <c r="A216" s="77">
        <v>9.0</v>
      </c>
      <c r="B216" s="74" t="s">
        <v>2006</v>
      </c>
      <c r="C216" s="74" t="s">
        <v>2007</v>
      </c>
      <c r="D216" s="74" t="s">
        <v>2008</v>
      </c>
      <c r="E216" s="74"/>
      <c r="F216" s="72" t="s">
        <v>8</v>
      </c>
      <c r="G216" s="74"/>
      <c r="H216" s="74"/>
      <c r="I216" s="74"/>
    </row>
    <row r="217">
      <c r="A217" s="77">
        <v>10.0</v>
      </c>
      <c r="B217" s="74" t="s">
        <v>1978</v>
      </c>
      <c r="C217" s="74" t="s">
        <v>2009</v>
      </c>
      <c r="D217" s="74" t="s">
        <v>2010</v>
      </c>
      <c r="E217" s="74"/>
      <c r="F217" s="72" t="s">
        <v>8</v>
      </c>
      <c r="G217" s="74"/>
      <c r="H217" s="74"/>
      <c r="I217" s="74"/>
    </row>
    <row r="218">
      <c r="A218" s="77">
        <v>11.0</v>
      </c>
      <c r="B218" s="74" t="s">
        <v>2011</v>
      </c>
      <c r="C218" s="74" t="s">
        <v>1133</v>
      </c>
      <c r="D218" s="74" t="s">
        <v>2012</v>
      </c>
      <c r="E218" s="74"/>
      <c r="F218" s="72" t="s">
        <v>8</v>
      </c>
      <c r="G218" s="74"/>
      <c r="H218" s="74"/>
      <c r="I218" s="74"/>
    </row>
    <row r="219">
      <c r="A219" s="77">
        <v>12.0</v>
      </c>
      <c r="B219" s="74" t="s">
        <v>682</v>
      </c>
      <c r="C219" s="74" t="s">
        <v>731</v>
      </c>
      <c r="D219" s="74" t="s">
        <v>1188</v>
      </c>
      <c r="E219" s="74"/>
      <c r="F219" s="72" t="s">
        <v>8</v>
      </c>
      <c r="G219" s="74"/>
      <c r="H219" s="74"/>
      <c r="I219" s="74"/>
    </row>
    <row r="220">
      <c r="A220" s="77">
        <v>13.0</v>
      </c>
      <c r="B220" s="74" t="s">
        <v>1981</v>
      </c>
      <c r="C220" s="74" t="s">
        <v>1982</v>
      </c>
      <c r="D220" s="74" t="s">
        <v>1188</v>
      </c>
      <c r="E220" s="74"/>
      <c r="F220" s="72" t="s">
        <v>8</v>
      </c>
      <c r="G220" s="74"/>
      <c r="H220" s="74"/>
      <c r="I220" s="74"/>
    </row>
    <row r="221">
      <c r="A221" s="77">
        <v>14.0</v>
      </c>
      <c r="B221" s="74" t="s">
        <v>1568</v>
      </c>
      <c r="C221" s="74" t="s">
        <v>1569</v>
      </c>
      <c r="D221" s="74" t="s">
        <v>1188</v>
      </c>
      <c r="E221" s="74"/>
      <c r="F221" s="72" t="s">
        <v>8</v>
      </c>
      <c r="G221" s="74"/>
      <c r="H221" s="74"/>
      <c r="I221" s="74"/>
    </row>
    <row r="222">
      <c r="A222" s="77">
        <v>15.0</v>
      </c>
      <c r="B222" s="74" t="s">
        <v>735</v>
      </c>
      <c r="C222" s="74" t="s">
        <v>1513</v>
      </c>
      <c r="D222" s="74" t="s">
        <v>1188</v>
      </c>
      <c r="E222" s="74"/>
      <c r="F222" s="72" t="s">
        <v>8</v>
      </c>
      <c r="G222" s="74"/>
      <c r="H222" s="74"/>
      <c r="I222" s="74"/>
    </row>
    <row r="223">
      <c r="A223" s="77">
        <v>16.0</v>
      </c>
      <c r="B223" s="74" t="s">
        <v>564</v>
      </c>
      <c r="C223" s="74" t="s">
        <v>565</v>
      </c>
      <c r="D223" s="74" t="s">
        <v>566</v>
      </c>
      <c r="E223" s="74"/>
      <c r="F223" s="72" t="s">
        <v>8</v>
      </c>
      <c r="G223" s="74"/>
      <c r="H223" s="74"/>
      <c r="I223" s="74"/>
    </row>
    <row r="224">
      <c r="A224" s="77">
        <v>17.0</v>
      </c>
      <c r="B224" s="78" t="s">
        <v>1726</v>
      </c>
      <c r="C224" s="78" t="s">
        <v>1727</v>
      </c>
      <c r="D224" s="78" t="s">
        <v>1728</v>
      </c>
      <c r="E224" s="74"/>
      <c r="F224" s="72" t="s">
        <v>8</v>
      </c>
      <c r="G224" s="74"/>
      <c r="H224" s="74"/>
      <c r="I224" s="74"/>
    </row>
    <row r="225">
      <c r="A225" s="77">
        <v>18.0</v>
      </c>
      <c r="B225" s="74" t="s">
        <v>1857</v>
      </c>
      <c r="C225" s="74" t="s">
        <v>1147</v>
      </c>
      <c r="D225" s="74" t="s">
        <v>1859</v>
      </c>
      <c r="E225" s="74"/>
      <c r="F225" s="72" t="s">
        <v>8</v>
      </c>
      <c r="G225" s="74"/>
      <c r="H225" s="74"/>
      <c r="I225" s="74"/>
    </row>
    <row r="226">
      <c r="A226" s="77">
        <v>19.0</v>
      </c>
      <c r="B226" s="71" t="s">
        <v>1984</v>
      </c>
      <c r="C226" s="71" t="s">
        <v>748</v>
      </c>
      <c r="D226" s="71" t="s">
        <v>1985</v>
      </c>
      <c r="E226" s="74" t="s">
        <v>1986</v>
      </c>
      <c r="F226" s="72" t="s">
        <v>9</v>
      </c>
      <c r="G226" s="74"/>
      <c r="H226" s="74"/>
      <c r="I226" s="74"/>
    </row>
    <row r="227">
      <c r="A227" s="77">
        <v>20.0</v>
      </c>
      <c r="B227" s="71" t="s">
        <v>1987</v>
      </c>
      <c r="C227" s="71" t="s">
        <v>1988</v>
      </c>
      <c r="D227" s="71" t="s">
        <v>1989</v>
      </c>
      <c r="E227" s="74"/>
      <c r="F227" s="72" t="s">
        <v>8</v>
      </c>
      <c r="G227" s="74"/>
      <c r="H227" s="74"/>
      <c r="I227" s="74"/>
    </row>
    <row r="228">
      <c r="A228" s="77">
        <v>21.0</v>
      </c>
      <c r="B228" s="71" t="s">
        <v>2013</v>
      </c>
      <c r="C228" s="71" t="s">
        <v>2014</v>
      </c>
      <c r="D228" s="71" t="s">
        <v>2015</v>
      </c>
      <c r="E228" s="74"/>
      <c r="F228" s="72" t="s">
        <v>8</v>
      </c>
      <c r="G228" s="74"/>
      <c r="H228" s="74"/>
      <c r="I228" s="74"/>
    </row>
    <row r="229">
      <c r="A229" s="77">
        <v>22.0</v>
      </c>
      <c r="B229" s="71" t="s">
        <v>2016</v>
      </c>
      <c r="C229" s="71" t="s">
        <v>2017</v>
      </c>
      <c r="D229" s="71" t="s">
        <v>2018</v>
      </c>
      <c r="E229" s="74"/>
      <c r="F229" s="72" t="s">
        <v>8</v>
      </c>
      <c r="G229" s="74"/>
      <c r="H229" s="74"/>
      <c r="I229" s="74"/>
    </row>
    <row r="230">
      <c r="A230" s="77">
        <v>23.0</v>
      </c>
      <c r="B230" s="71" t="s">
        <v>2019</v>
      </c>
      <c r="C230" s="71" t="s">
        <v>2020</v>
      </c>
      <c r="D230" s="71" t="s">
        <v>2021</v>
      </c>
      <c r="E230" s="74"/>
      <c r="F230" s="72" t="s">
        <v>8</v>
      </c>
      <c r="G230" s="74"/>
      <c r="H230" s="74"/>
      <c r="I230" s="74"/>
    </row>
    <row r="231">
      <c r="A231" s="77">
        <v>24.0</v>
      </c>
      <c r="B231" s="71" t="s">
        <v>2022</v>
      </c>
      <c r="C231" s="71" t="s">
        <v>2023</v>
      </c>
      <c r="D231" s="71" t="s">
        <v>2024</v>
      </c>
      <c r="E231" s="74"/>
      <c r="F231" s="72" t="s">
        <v>8</v>
      </c>
      <c r="G231" s="74"/>
      <c r="H231" s="74"/>
      <c r="I231" s="74"/>
    </row>
    <row r="232">
      <c r="A232" s="77">
        <v>25.0</v>
      </c>
      <c r="B232" s="71" t="s">
        <v>2025</v>
      </c>
      <c r="C232" s="71" t="s">
        <v>2026</v>
      </c>
      <c r="D232" s="71" t="s">
        <v>2027</v>
      </c>
      <c r="E232" s="74"/>
      <c r="F232" s="72" t="s">
        <v>8</v>
      </c>
      <c r="G232" s="74"/>
      <c r="H232" s="74"/>
      <c r="I232" s="74"/>
    </row>
    <row r="233">
      <c r="A233" s="77">
        <v>26.0</v>
      </c>
      <c r="B233" s="71" t="s">
        <v>2028</v>
      </c>
      <c r="C233" s="71" t="s">
        <v>2029</v>
      </c>
      <c r="D233" s="71" t="s">
        <v>2030</v>
      </c>
      <c r="E233" s="74"/>
      <c r="F233" s="72" t="s">
        <v>8</v>
      </c>
      <c r="G233" s="74"/>
      <c r="H233" s="74"/>
      <c r="I233" s="74"/>
    </row>
    <row r="234">
      <c r="A234" s="77">
        <v>27.0</v>
      </c>
      <c r="B234" s="71" t="s">
        <v>2031</v>
      </c>
      <c r="C234" s="71" t="s">
        <v>2032</v>
      </c>
      <c r="D234" s="71" t="s">
        <v>2033</v>
      </c>
      <c r="E234" s="74"/>
      <c r="F234" s="72" t="s">
        <v>8</v>
      </c>
      <c r="G234" s="74"/>
      <c r="H234" s="74"/>
      <c r="I234" s="74"/>
    </row>
    <row r="235">
      <c r="A235" s="77">
        <v>28.0</v>
      </c>
      <c r="B235" s="71" t="s">
        <v>2034</v>
      </c>
      <c r="C235" s="71" t="s">
        <v>2035</v>
      </c>
      <c r="D235" s="71" t="s">
        <v>2036</v>
      </c>
      <c r="E235" s="74"/>
      <c r="F235" s="72" t="s">
        <v>8</v>
      </c>
      <c r="G235" s="74"/>
      <c r="H235" s="74"/>
      <c r="I235" s="74"/>
    </row>
    <row r="236">
      <c r="A236" s="77">
        <v>29.0</v>
      </c>
      <c r="B236" s="71" t="s">
        <v>2037</v>
      </c>
      <c r="C236" s="71" t="s">
        <v>2038</v>
      </c>
      <c r="D236" s="71" t="s">
        <v>2021</v>
      </c>
      <c r="E236" s="74"/>
      <c r="F236" s="72" t="s">
        <v>8</v>
      </c>
      <c r="G236" s="74"/>
      <c r="H236" s="74"/>
      <c r="I236" s="74"/>
    </row>
    <row r="237">
      <c r="A237" s="77">
        <v>31.0</v>
      </c>
      <c r="B237" s="71" t="s">
        <v>2039</v>
      </c>
      <c r="C237" s="71" t="s">
        <v>2040</v>
      </c>
      <c r="D237" s="71" t="s">
        <v>2041</v>
      </c>
      <c r="E237" s="74"/>
      <c r="F237" s="72" t="s">
        <v>8</v>
      </c>
      <c r="G237" s="74"/>
      <c r="H237" s="74"/>
      <c r="I237" s="74"/>
    </row>
    <row r="238">
      <c r="A238" s="77">
        <v>32.0</v>
      </c>
      <c r="B238" s="71" t="s">
        <v>2042</v>
      </c>
      <c r="C238" s="71" t="s">
        <v>2043</v>
      </c>
      <c r="D238" s="71" t="s">
        <v>2044</v>
      </c>
      <c r="E238" s="74"/>
      <c r="F238" s="72" t="s">
        <v>8</v>
      </c>
      <c r="G238" s="74"/>
      <c r="H238" s="74"/>
      <c r="I238" s="74"/>
    </row>
    <row r="239">
      <c r="A239" s="77">
        <v>33.0</v>
      </c>
      <c r="B239" s="71" t="s">
        <v>2045</v>
      </c>
      <c r="C239" s="71" t="s">
        <v>2046</v>
      </c>
      <c r="D239" s="71" t="s">
        <v>2047</v>
      </c>
      <c r="E239" s="74"/>
      <c r="F239" s="72" t="s">
        <v>8</v>
      </c>
      <c r="G239" s="74"/>
      <c r="H239" s="74"/>
      <c r="I239" s="74"/>
    </row>
    <row r="240">
      <c r="A240" s="77">
        <v>34.0</v>
      </c>
      <c r="B240" s="71" t="s">
        <v>2048</v>
      </c>
      <c r="C240" s="71" t="s">
        <v>2049</v>
      </c>
      <c r="D240" s="71" t="s">
        <v>2050</v>
      </c>
      <c r="E240" s="74"/>
      <c r="F240" s="72" t="s">
        <v>8</v>
      </c>
      <c r="G240" s="74"/>
      <c r="H240" s="74"/>
      <c r="I240" s="74"/>
    </row>
    <row r="241">
      <c r="A241" s="77">
        <v>35.0</v>
      </c>
      <c r="B241" s="71" t="s">
        <v>2051</v>
      </c>
      <c r="C241" s="71" t="s">
        <v>2052</v>
      </c>
      <c r="D241" s="71" t="s">
        <v>2053</v>
      </c>
      <c r="E241" s="74"/>
      <c r="F241" s="72" t="s">
        <v>8</v>
      </c>
      <c r="G241" s="74"/>
      <c r="H241" s="74"/>
      <c r="I241" s="74"/>
    </row>
    <row r="242">
      <c r="A242" s="77">
        <v>36.0</v>
      </c>
      <c r="B242" s="71" t="s">
        <v>2054</v>
      </c>
      <c r="C242" s="71" t="s">
        <v>2055</v>
      </c>
      <c r="D242" s="71" t="s">
        <v>2056</v>
      </c>
      <c r="E242" s="74"/>
      <c r="F242" s="72" t="s">
        <v>8</v>
      </c>
      <c r="G242" s="74"/>
      <c r="H242" s="74"/>
      <c r="I242" s="74"/>
    </row>
    <row r="243">
      <c r="A243" s="77">
        <v>37.0</v>
      </c>
      <c r="B243" s="71" t="s">
        <v>2057</v>
      </c>
      <c r="C243" s="71" t="s">
        <v>731</v>
      </c>
      <c r="D243" s="71" t="s">
        <v>2058</v>
      </c>
      <c r="E243" s="74"/>
      <c r="F243" s="72" t="s">
        <v>8</v>
      </c>
      <c r="G243" s="74"/>
      <c r="H243" s="74"/>
      <c r="I243" s="74"/>
    </row>
    <row r="244">
      <c r="A244" s="77">
        <v>38.0</v>
      </c>
      <c r="B244" s="71" t="s">
        <v>2059</v>
      </c>
      <c r="C244" s="71" t="s">
        <v>1982</v>
      </c>
      <c r="D244" s="71" t="s">
        <v>2060</v>
      </c>
      <c r="E244" s="74"/>
      <c r="F244" s="72" t="s">
        <v>8</v>
      </c>
      <c r="G244" s="74"/>
      <c r="H244" s="74"/>
      <c r="I244" s="74"/>
    </row>
    <row r="245">
      <c r="A245" s="77">
        <v>39.0</v>
      </c>
      <c r="B245" s="71" t="s">
        <v>2061</v>
      </c>
      <c r="C245" s="71" t="s">
        <v>2062</v>
      </c>
      <c r="D245" s="71" t="s">
        <v>2063</v>
      </c>
      <c r="E245" s="74"/>
      <c r="F245" s="72" t="s">
        <v>8</v>
      </c>
      <c r="G245" s="74"/>
      <c r="H245" s="74"/>
      <c r="I245" s="74"/>
    </row>
    <row r="246">
      <c r="A246" s="77">
        <v>40.0</v>
      </c>
      <c r="B246" s="71" t="s">
        <v>2064</v>
      </c>
      <c r="C246" s="71" t="s">
        <v>2065</v>
      </c>
      <c r="D246" s="71" t="s">
        <v>2066</v>
      </c>
      <c r="E246" s="74"/>
      <c r="F246" s="72" t="s">
        <v>8</v>
      </c>
      <c r="G246" s="74"/>
      <c r="H246" s="74"/>
      <c r="I246" s="74"/>
    </row>
    <row r="247" ht="15.75" customHeight="1">
      <c r="A247" s="66" t="s">
        <v>33</v>
      </c>
      <c r="B247" s="91"/>
      <c r="C247" s="91"/>
      <c r="D247" s="67"/>
      <c r="E247" s="79"/>
      <c r="F247" s="103"/>
      <c r="G247" s="80"/>
      <c r="H247" s="80"/>
      <c r="I247" s="80"/>
    </row>
    <row r="248">
      <c r="A248" s="77">
        <v>1.0</v>
      </c>
      <c r="B248" s="74" t="s">
        <v>2067</v>
      </c>
      <c r="C248" s="74" t="s">
        <v>2068</v>
      </c>
      <c r="D248" s="74" t="s">
        <v>2069</v>
      </c>
      <c r="E248" s="74"/>
      <c r="F248" s="72" t="s">
        <v>8</v>
      </c>
      <c r="G248" s="74"/>
      <c r="H248" s="74"/>
      <c r="I248" s="74"/>
    </row>
    <row r="249">
      <c r="A249" s="77">
        <v>2.0</v>
      </c>
      <c r="B249" s="74" t="s">
        <v>2070</v>
      </c>
      <c r="C249" s="74" t="s">
        <v>2071</v>
      </c>
      <c r="D249" s="74" t="s">
        <v>2072</v>
      </c>
      <c r="E249" s="78"/>
      <c r="F249" s="72" t="s">
        <v>8</v>
      </c>
      <c r="G249" s="78"/>
      <c r="H249" s="78"/>
      <c r="I249" s="78"/>
    </row>
    <row r="250">
      <c r="A250" s="77">
        <v>3.0</v>
      </c>
      <c r="B250" s="74" t="s">
        <v>2073</v>
      </c>
      <c r="C250" s="74" t="s">
        <v>2074</v>
      </c>
      <c r="D250" s="74" t="s">
        <v>2075</v>
      </c>
      <c r="E250" s="74"/>
      <c r="F250" s="72" t="s">
        <v>8</v>
      </c>
      <c r="G250" s="74"/>
      <c r="H250" s="74"/>
      <c r="I250" s="74"/>
    </row>
    <row r="251">
      <c r="A251" s="77">
        <v>4.0</v>
      </c>
      <c r="B251" s="74" t="s">
        <v>2076</v>
      </c>
      <c r="C251" s="74" t="s">
        <v>2077</v>
      </c>
      <c r="D251" s="74" t="s">
        <v>2078</v>
      </c>
      <c r="E251" s="74"/>
      <c r="F251" s="72" t="s">
        <v>8</v>
      </c>
      <c r="G251" s="74"/>
      <c r="H251" s="74"/>
      <c r="I251" s="74"/>
    </row>
    <row r="252">
      <c r="A252" s="77">
        <v>5.0</v>
      </c>
      <c r="B252" s="74" t="s">
        <v>2079</v>
      </c>
      <c r="C252" s="74" t="s">
        <v>2080</v>
      </c>
      <c r="D252" s="74" t="s">
        <v>2081</v>
      </c>
      <c r="E252" s="74"/>
      <c r="F252" s="72" t="s">
        <v>8</v>
      </c>
      <c r="G252" s="74"/>
      <c r="H252" s="74"/>
      <c r="I252" s="74"/>
    </row>
    <row r="253">
      <c r="A253" s="77">
        <v>6.0</v>
      </c>
      <c r="B253" s="74" t="s">
        <v>2082</v>
      </c>
      <c r="C253" s="74" t="s">
        <v>2083</v>
      </c>
      <c r="D253" s="74" t="s">
        <v>2084</v>
      </c>
      <c r="E253" s="74"/>
      <c r="F253" s="72" t="s">
        <v>8</v>
      </c>
      <c r="G253" s="74"/>
      <c r="H253" s="74"/>
      <c r="I253" s="74"/>
    </row>
    <row r="254">
      <c r="A254" s="77">
        <v>7.0</v>
      </c>
      <c r="B254" s="74" t="s">
        <v>2085</v>
      </c>
      <c r="C254" s="74" t="s">
        <v>2086</v>
      </c>
      <c r="D254" s="74" t="s">
        <v>2086</v>
      </c>
      <c r="E254" s="74"/>
      <c r="F254" s="72" t="s">
        <v>8</v>
      </c>
      <c r="G254" s="74"/>
      <c r="H254" s="74"/>
      <c r="I254" s="74"/>
    </row>
    <row r="255">
      <c r="A255" s="77">
        <v>8.0</v>
      </c>
      <c r="B255" s="74" t="s">
        <v>2087</v>
      </c>
      <c r="C255" s="74" t="s">
        <v>2088</v>
      </c>
      <c r="D255" s="74" t="s">
        <v>2089</v>
      </c>
      <c r="E255" s="74"/>
      <c r="F255" s="72" t="s">
        <v>8</v>
      </c>
      <c r="G255" s="74"/>
      <c r="H255" s="74"/>
      <c r="I255" s="74"/>
    </row>
    <row r="256" ht="15.75" customHeight="1">
      <c r="A256" s="66" t="s">
        <v>35</v>
      </c>
      <c r="B256" s="91"/>
      <c r="C256" s="91"/>
      <c r="D256" s="67"/>
      <c r="E256" s="79"/>
      <c r="F256" s="103"/>
      <c r="G256" s="80"/>
      <c r="H256" s="80"/>
      <c r="I256" s="80"/>
    </row>
    <row r="257">
      <c r="A257" s="77">
        <v>1.0</v>
      </c>
      <c r="B257" s="74" t="s">
        <v>2090</v>
      </c>
      <c r="C257" s="74" t="s">
        <v>2091</v>
      </c>
      <c r="D257" s="74" t="s">
        <v>2092</v>
      </c>
      <c r="E257" s="74"/>
      <c r="F257" s="72" t="s">
        <v>8</v>
      </c>
      <c r="G257" s="74"/>
      <c r="H257" s="74"/>
      <c r="I257" s="74"/>
    </row>
    <row r="258">
      <c r="A258" s="77">
        <v>2.0</v>
      </c>
      <c r="B258" s="74" t="s">
        <v>2093</v>
      </c>
      <c r="C258" s="74" t="s">
        <v>2094</v>
      </c>
      <c r="D258" s="74" t="s">
        <v>2095</v>
      </c>
      <c r="E258" s="74"/>
      <c r="F258" s="72" t="s">
        <v>8</v>
      </c>
      <c r="G258" s="74"/>
      <c r="H258" s="74"/>
      <c r="I258" s="74"/>
    </row>
    <row r="259">
      <c r="A259" s="77">
        <v>3.0</v>
      </c>
      <c r="B259" s="74" t="s">
        <v>2096</v>
      </c>
      <c r="C259" s="74" t="s">
        <v>2097</v>
      </c>
      <c r="D259" s="74" t="s">
        <v>374</v>
      </c>
      <c r="E259" s="74"/>
      <c r="F259" s="72" t="s">
        <v>8</v>
      </c>
      <c r="G259" s="74"/>
      <c r="H259" s="74"/>
      <c r="I259" s="74"/>
    </row>
    <row r="260">
      <c r="A260" s="77">
        <v>4.0</v>
      </c>
      <c r="B260" s="74" t="s">
        <v>1160</v>
      </c>
      <c r="C260" s="74" t="s">
        <v>1999</v>
      </c>
      <c r="D260" s="74" t="s">
        <v>374</v>
      </c>
      <c r="E260" s="74"/>
      <c r="F260" s="72" t="s">
        <v>8</v>
      </c>
      <c r="G260" s="74"/>
      <c r="H260" s="74"/>
      <c r="I260" s="74"/>
    </row>
    <row r="261">
      <c r="A261" s="77">
        <v>5.0</v>
      </c>
      <c r="B261" s="74" t="s">
        <v>2098</v>
      </c>
      <c r="C261" s="74" t="s">
        <v>1999</v>
      </c>
      <c r="D261" s="74" t="s">
        <v>374</v>
      </c>
      <c r="E261" s="74"/>
      <c r="F261" s="72" t="s">
        <v>8</v>
      </c>
      <c r="G261" s="74"/>
      <c r="H261" s="74"/>
      <c r="I261" s="74"/>
    </row>
    <row r="262">
      <c r="A262" s="77">
        <v>6.0</v>
      </c>
      <c r="B262" s="74" t="s">
        <v>2099</v>
      </c>
      <c r="C262" s="74" t="s">
        <v>2100</v>
      </c>
      <c r="D262" s="74" t="s">
        <v>374</v>
      </c>
      <c r="E262" s="74"/>
      <c r="F262" s="72" t="s">
        <v>8</v>
      </c>
      <c r="G262" s="74"/>
      <c r="H262" s="74"/>
      <c r="I262" s="74"/>
    </row>
    <row r="263">
      <c r="A263" s="77">
        <v>7.0</v>
      </c>
      <c r="B263" s="74" t="s">
        <v>2101</v>
      </c>
      <c r="C263" s="74" t="s">
        <v>2102</v>
      </c>
      <c r="D263" s="74" t="s">
        <v>2103</v>
      </c>
      <c r="E263" s="74"/>
      <c r="F263" s="72" t="s">
        <v>8</v>
      </c>
      <c r="G263" s="74"/>
      <c r="H263" s="74"/>
      <c r="I263" s="74"/>
    </row>
    <row r="264">
      <c r="A264" s="77">
        <v>8.0</v>
      </c>
      <c r="B264" s="74" t="s">
        <v>2104</v>
      </c>
      <c r="C264" s="74" t="s">
        <v>1503</v>
      </c>
      <c r="D264" s="74" t="s">
        <v>1283</v>
      </c>
      <c r="E264" s="74"/>
      <c r="F264" s="72" t="s">
        <v>8</v>
      </c>
      <c r="G264" s="74"/>
      <c r="H264" s="74"/>
      <c r="I264" s="74"/>
    </row>
    <row r="265">
      <c r="A265" s="77">
        <v>9.0</v>
      </c>
      <c r="B265" s="74" t="s">
        <v>2105</v>
      </c>
      <c r="C265" s="74" t="s">
        <v>2106</v>
      </c>
      <c r="D265" s="74" t="s">
        <v>1978</v>
      </c>
      <c r="E265" s="74"/>
      <c r="F265" s="72" t="s">
        <v>8</v>
      </c>
      <c r="G265" s="74"/>
      <c r="H265" s="74"/>
      <c r="I265" s="74"/>
    </row>
    <row r="266">
      <c r="A266" s="77">
        <v>10.0</v>
      </c>
      <c r="B266" s="74" t="s">
        <v>2107</v>
      </c>
      <c r="C266" s="74" t="s">
        <v>2108</v>
      </c>
      <c r="D266" s="74" t="s">
        <v>2109</v>
      </c>
      <c r="E266" s="74"/>
      <c r="F266" s="72" t="s">
        <v>8</v>
      </c>
      <c r="G266" s="74"/>
      <c r="H266" s="74"/>
      <c r="I266" s="74"/>
    </row>
    <row r="267">
      <c r="A267" s="77">
        <v>11.0</v>
      </c>
      <c r="B267" s="74" t="s">
        <v>2110</v>
      </c>
      <c r="C267" s="74" t="s">
        <v>1133</v>
      </c>
      <c r="D267" s="74" t="s">
        <v>1944</v>
      </c>
      <c r="E267" s="74"/>
      <c r="F267" s="72" t="s">
        <v>8</v>
      </c>
      <c r="G267" s="74"/>
      <c r="H267" s="74"/>
      <c r="I267" s="74"/>
    </row>
    <row r="268">
      <c r="A268" s="77">
        <v>12.0</v>
      </c>
      <c r="B268" s="74" t="s">
        <v>1568</v>
      </c>
      <c r="C268" s="74" t="s">
        <v>2111</v>
      </c>
      <c r="D268" s="74" t="s">
        <v>1188</v>
      </c>
      <c r="E268" s="74"/>
      <c r="F268" s="72" t="s">
        <v>8</v>
      </c>
      <c r="G268" s="74"/>
      <c r="H268" s="74"/>
      <c r="I268" s="74"/>
    </row>
    <row r="269">
      <c r="A269" s="77">
        <v>13.0</v>
      </c>
      <c r="B269" s="74" t="s">
        <v>1981</v>
      </c>
      <c r="C269" s="74" t="s">
        <v>2111</v>
      </c>
      <c r="D269" s="74" t="s">
        <v>1188</v>
      </c>
      <c r="E269" s="74"/>
      <c r="F269" s="72" t="s">
        <v>8</v>
      </c>
      <c r="G269" s="74"/>
      <c r="H269" s="74"/>
      <c r="I269" s="74"/>
    </row>
    <row r="270">
      <c r="A270" s="77">
        <v>14.0</v>
      </c>
      <c r="B270" s="74" t="s">
        <v>682</v>
      </c>
      <c r="C270" s="74" t="s">
        <v>2111</v>
      </c>
      <c r="D270" s="74" t="s">
        <v>1188</v>
      </c>
      <c r="E270" s="74"/>
      <c r="F270" s="72" t="s">
        <v>8</v>
      </c>
      <c r="G270" s="74"/>
      <c r="H270" s="74"/>
      <c r="I270" s="74"/>
    </row>
    <row r="271">
      <c r="A271" s="77">
        <v>15.0</v>
      </c>
      <c r="B271" s="74" t="s">
        <v>1135</v>
      </c>
      <c r="C271" s="74" t="s">
        <v>2111</v>
      </c>
      <c r="D271" s="74" t="s">
        <v>1188</v>
      </c>
      <c r="E271" s="74"/>
      <c r="F271" s="72" t="s">
        <v>8</v>
      </c>
      <c r="G271" s="74"/>
      <c r="H271" s="74"/>
      <c r="I271" s="74"/>
    </row>
    <row r="272">
      <c r="A272" s="77">
        <v>16.0</v>
      </c>
      <c r="B272" s="74" t="s">
        <v>564</v>
      </c>
      <c r="C272" s="74" t="s">
        <v>565</v>
      </c>
      <c r="D272" s="74" t="s">
        <v>566</v>
      </c>
      <c r="E272" s="74"/>
      <c r="F272" s="75" t="s">
        <v>8</v>
      </c>
      <c r="G272" s="74"/>
      <c r="H272" s="74"/>
      <c r="I272" s="74"/>
    </row>
    <row r="273">
      <c r="A273" s="77">
        <v>17.0</v>
      </c>
      <c r="B273" s="78" t="s">
        <v>1726</v>
      </c>
      <c r="C273" s="78" t="s">
        <v>1727</v>
      </c>
      <c r="D273" s="78" t="s">
        <v>1728</v>
      </c>
      <c r="E273" s="74"/>
      <c r="F273" s="75" t="s">
        <v>8</v>
      </c>
      <c r="G273" s="74"/>
      <c r="H273" s="74"/>
      <c r="I273" s="74"/>
    </row>
    <row r="274">
      <c r="A274" s="77">
        <v>18.0</v>
      </c>
      <c r="B274" s="74" t="s">
        <v>1857</v>
      </c>
      <c r="C274" s="74" t="s">
        <v>1147</v>
      </c>
      <c r="D274" s="74" t="s">
        <v>1859</v>
      </c>
      <c r="E274" s="74"/>
      <c r="F274" s="72" t="s">
        <v>8</v>
      </c>
      <c r="G274" s="74"/>
      <c r="H274" s="74"/>
      <c r="I274" s="74"/>
    </row>
    <row r="275" ht="15.75" customHeight="1">
      <c r="A275" s="66" t="s">
        <v>38</v>
      </c>
      <c r="B275" s="91"/>
      <c r="C275" s="91"/>
      <c r="D275" s="67"/>
      <c r="E275" s="79"/>
      <c r="F275" s="103"/>
      <c r="G275" s="80"/>
      <c r="H275" s="80"/>
      <c r="I275" s="80"/>
    </row>
    <row r="276">
      <c r="A276" s="77">
        <v>1.0</v>
      </c>
      <c r="B276" s="97" t="s">
        <v>2112</v>
      </c>
      <c r="C276" s="97" t="s">
        <v>2113</v>
      </c>
      <c r="D276" s="97" t="s">
        <v>2114</v>
      </c>
      <c r="E276" s="83"/>
      <c r="F276" s="72" t="s">
        <v>8</v>
      </c>
      <c r="G276" s="83"/>
      <c r="H276" s="83"/>
      <c r="I276" s="83"/>
    </row>
    <row r="277">
      <c r="A277" s="77">
        <v>2.0</v>
      </c>
      <c r="B277" s="97" t="s">
        <v>2115</v>
      </c>
      <c r="C277" s="97" t="s">
        <v>2116</v>
      </c>
      <c r="D277" s="97" t="s">
        <v>2117</v>
      </c>
      <c r="E277" s="83"/>
      <c r="F277" s="72" t="s">
        <v>8</v>
      </c>
      <c r="G277" s="83"/>
      <c r="H277" s="83"/>
      <c r="I277" s="83"/>
    </row>
    <row r="278">
      <c r="A278" s="77">
        <v>3.0</v>
      </c>
      <c r="B278" s="97" t="s">
        <v>2118</v>
      </c>
      <c r="C278" s="97" t="s">
        <v>2119</v>
      </c>
      <c r="D278" s="97" t="s">
        <v>2120</v>
      </c>
      <c r="E278" s="83"/>
      <c r="F278" s="72" t="s">
        <v>8</v>
      </c>
      <c r="G278" s="83"/>
      <c r="H278" s="83"/>
      <c r="I278" s="83"/>
    </row>
    <row r="279">
      <c r="A279" s="77">
        <v>4.0</v>
      </c>
      <c r="B279" s="97" t="s">
        <v>2121</v>
      </c>
      <c r="C279" s="97" t="s">
        <v>2122</v>
      </c>
      <c r="D279" s="97" t="s">
        <v>374</v>
      </c>
      <c r="E279" s="83"/>
      <c r="F279" s="72" t="s">
        <v>8</v>
      </c>
      <c r="G279" s="83"/>
      <c r="H279" s="83"/>
      <c r="I279" s="83"/>
    </row>
    <row r="280">
      <c r="A280" s="77">
        <v>5.0</v>
      </c>
      <c r="B280" s="97" t="s">
        <v>2123</v>
      </c>
      <c r="C280" s="97" t="s">
        <v>2124</v>
      </c>
      <c r="D280" s="97" t="s">
        <v>2125</v>
      </c>
      <c r="E280" s="83"/>
      <c r="F280" s="72" t="s">
        <v>8</v>
      </c>
      <c r="G280" s="83"/>
      <c r="H280" s="83"/>
      <c r="I280" s="83"/>
    </row>
    <row r="281">
      <c r="A281" s="77">
        <v>6.0</v>
      </c>
      <c r="B281" s="97" t="s">
        <v>2126</v>
      </c>
      <c r="C281" s="97" t="s">
        <v>2127</v>
      </c>
      <c r="D281" s="97" t="s">
        <v>2128</v>
      </c>
      <c r="E281" s="83"/>
      <c r="F281" s="72" t="s">
        <v>8</v>
      </c>
      <c r="G281" s="83"/>
      <c r="H281" s="83"/>
      <c r="I281" s="83"/>
    </row>
    <row r="282">
      <c r="A282" s="77">
        <v>7.0</v>
      </c>
      <c r="B282" s="97" t="s">
        <v>2129</v>
      </c>
      <c r="C282" s="97" t="s">
        <v>2130</v>
      </c>
      <c r="D282" s="97" t="s">
        <v>2131</v>
      </c>
      <c r="E282" s="83"/>
      <c r="F282" s="72" t="s">
        <v>8</v>
      </c>
      <c r="G282" s="83"/>
      <c r="H282" s="83"/>
      <c r="I282" s="83"/>
    </row>
    <row r="283">
      <c r="A283" s="77">
        <v>8.0</v>
      </c>
      <c r="B283" s="97" t="s">
        <v>2132</v>
      </c>
      <c r="C283" s="97" t="s">
        <v>2133</v>
      </c>
      <c r="D283" s="97" t="s">
        <v>2134</v>
      </c>
      <c r="E283" s="83"/>
      <c r="F283" s="72" t="s">
        <v>8</v>
      </c>
      <c r="G283" s="83"/>
      <c r="H283" s="83"/>
      <c r="I283" s="83"/>
    </row>
    <row r="284">
      <c r="A284" s="77">
        <v>9.0</v>
      </c>
      <c r="B284" s="97" t="s">
        <v>2135</v>
      </c>
      <c r="C284" s="97" t="s">
        <v>2136</v>
      </c>
      <c r="D284" s="97" t="s">
        <v>1013</v>
      </c>
      <c r="E284" s="83"/>
      <c r="F284" s="72" t="s">
        <v>8</v>
      </c>
      <c r="G284" s="83"/>
      <c r="H284" s="83"/>
      <c r="I284" s="83"/>
    </row>
    <row r="285">
      <c r="A285" s="77">
        <v>10.0</v>
      </c>
      <c r="B285" s="97" t="s">
        <v>2137</v>
      </c>
      <c r="C285" s="97" t="s">
        <v>2138</v>
      </c>
      <c r="D285" s="97" t="s">
        <v>1013</v>
      </c>
      <c r="E285" s="83"/>
      <c r="F285" s="72" t="s">
        <v>8</v>
      </c>
      <c r="G285" s="83"/>
      <c r="H285" s="83"/>
      <c r="I285" s="83"/>
    </row>
    <row r="286">
      <c r="A286" s="77">
        <v>11.0</v>
      </c>
      <c r="B286" s="97" t="s">
        <v>2139</v>
      </c>
      <c r="C286" s="97" t="s">
        <v>2140</v>
      </c>
      <c r="D286" s="97" t="s">
        <v>1978</v>
      </c>
      <c r="E286" s="83"/>
      <c r="F286" s="72" t="s">
        <v>8</v>
      </c>
      <c r="G286" s="83"/>
      <c r="H286" s="83"/>
      <c r="I286" s="83"/>
    </row>
    <row r="287">
      <c r="A287" s="77">
        <v>12.0</v>
      </c>
      <c r="B287" s="97" t="s">
        <v>2141</v>
      </c>
      <c r="C287" s="97" t="s">
        <v>2142</v>
      </c>
      <c r="D287" s="97" t="s">
        <v>2143</v>
      </c>
      <c r="E287" s="83"/>
      <c r="F287" s="72" t="s">
        <v>8</v>
      </c>
      <c r="G287" s="83"/>
      <c r="H287" s="83"/>
      <c r="I287" s="83"/>
    </row>
    <row r="288">
      <c r="A288" s="77">
        <v>13.0</v>
      </c>
      <c r="B288" s="78" t="s">
        <v>2144</v>
      </c>
      <c r="C288" s="78" t="s">
        <v>1133</v>
      </c>
      <c r="D288" s="78" t="s">
        <v>2145</v>
      </c>
      <c r="E288" s="83"/>
      <c r="F288" s="72" t="s">
        <v>8</v>
      </c>
      <c r="G288" s="83"/>
      <c r="H288" s="83"/>
      <c r="I288" s="83"/>
    </row>
    <row r="289">
      <c r="A289" s="77">
        <v>14.0</v>
      </c>
      <c r="B289" s="78" t="s">
        <v>682</v>
      </c>
      <c r="C289" s="78" t="s">
        <v>2146</v>
      </c>
      <c r="D289" s="78" t="s">
        <v>1188</v>
      </c>
      <c r="E289" s="83"/>
      <c r="F289" s="72" t="s">
        <v>8</v>
      </c>
      <c r="G289" s="83"/>
      <c r="H289" s="83"/>
      <c r="I289" s="83"/>
    </row>
    <row r="290">
      <c r="A290" s="77">
        <v>15.0</v>
      </c>
      <c r="B290" s="78" t="s">
        <v>735</v>
      </c>
      <c r="C290" s="78" t="s">
        <v>2146</v>
      </c>
      <c r="D290" s="78" t="s">
        <v>1188</v>
      </c>
      <c r="E290" s="83"/>
      <c r="F290" s="72" t="s">
        <v>8</v>
      </c>
      <c r="G290" s="83"/>
      <c r="H290" s="83"/>
      <c r="I290" s="83"/>
    </row>
    <row r="291">
      <c r="A291" s="77">
        <v>16.0</v>
      </c>
      <c r="B291" s="78" t="s">
        <v>1726</v>
      </c>
      <c r="C291" s="78" t="s">
        <v>1727</v>
      </c>
      <c r="D291" s="78" t="s">
        <v>1728</v>
      </c>
      <c r="E291" s="74"/>
      <c r="F291" s="72" t="s">
        <v>8</v>
      </c>
      <c r="G291" s="74"/>
      <c r="H291" s="74"/>
      <c r="I291" s="74"/>
    </row>
    <row r="292" ht="15.75" customHeight="1">
      <c r="A292" s="66" t="s">
        <v>41</v>
      </c>
      <c r="B292" s="91"/>
      <c r="C292" s="91"/>
      <c r="D292" s="67"/>
      <c r="E292" s="79"/>
      <c r="F292" s="103"/>
      <c r="G292" s="80"/>
      <c r="H292" s="80"/>
      <c r="I292" s="80"/>
    </row>
    <row r="293">
      <c r="A293" s="77">
        <v>1.0</v>
      </c>
      <c r="B293" s="78" t="s">
        <v>2147</v>
      </c>
      <c r="C293" s="78" t="s">
        <v>2148</v>
      </c>
      <c r="D293" s="78" t="s">
        <v>2149</v>
      </c>
      <c r="E293" s="78"/>
      <c r="F293" s="72" t="s">
        <v>8</v>
      </c>
      <c r="G293" s="74"/>
      <c r="H293" s="74"/>
      <c r="I293" s="74"/>
    </row>
    <row r="294">
      <c r="A294" s="77">
        <v>2.0</v>
      </c>
      <c r="B294" s="78" t="s">
        <v>2150</v>
      </c>
      <c r="C294" s="78" t="s">
        <v>2151</v>
      </c>
      <c r="D294" s="78" t="s">
        <v>2152</v>
      </c>
      <c r="E294" s="78"/>
      <c r="F294" s="72" t="s">
        <v>8</v>
      </c>
      <c r="G294" s="74"/>
      <c r="H294" s="74"/>
      <c r="I294" s="74"/>
    </row>
    <row r="295">
      <c r="A295" s="77">
        <v>3.0</v>
      </c>
      <c r="B295" s="78" t="s">
        <v>2153</v>
      </c>
      <c r="C295" s="78" t="s">
        <v>2119</v>
      </c>
      <c r="D295" s="78" t="s">
        <v>2120</v>
      </c>
      <c r="E295" s="78"/>
      <c r="F295" s="72" t="s">
        <v>8</v>
      </c>
      <c r="G295" s="74"/>
      <c r="H295" s="74"/>
      <c r="I295" s="74"/>
    </row>
    <row r="296">
      <c r="A296" s="77">
        <v>4.0</v>
      </c>
      <c r="B296" s="78" t="s">
        <v>2121</v>
      </c>
      <c r="C296" s="78" t="s">
        <v>2122</v>
      </c>
      <c r="D296" s="78" t="s">
        <v>374</v>
      </c>
      <c r="E296" s="78"/>
      <c r="F296" s="72" t="s">
        <v>8</v>
      </c>
      <c r="G296" s="74"/>
      <c r="H296" s="74"/>
      <c r="I296" s="74"/>
    </row>
    <row r="297">
      <c r="A297" s="77">
        <v>5.0</v>
      </c>
      <c r="B297" s="78" t="s">
        <v>2154</v>
      </c>
      <c r="C297" s="78" t="s">
        <v>2155</v>
      </c>
      <c r="D297" s="78" t="s">
        <v>2156</v>
      </c>
      <c r="E297" s="78"/>
      <c r="F297" s="72" t="s">
        <v>8</v>
      </c>
      <c r="G297" s="74"/>
      <c r="H297" s="74"/>
      <c r="I297" s="74"/>
    </row>
    <row r="298">
      <c r="A298" s="77">
        <v>6.0</v>
      </c>
      <c r="B298" s="78" t="s">
        <v>2157</v>
      </c>
      <c r="C298" s="78" t="s">
        <v>2158</v>
      </c>
      <c r="D298" s="78" t="s">
        <v>2159</v>
      </c>
      <c r="E298" s="78"/>
      <c r="F298" s="72" t="s">
        <v>8</v>
      </c>
      <c r="G298" s="74"/>
      <c r="H298" s="74"/>
      <c r="I298" s="74"/>
    </row>
    <row r="299">
      <c r="A299" s="77">
        <v>7.0</v>
      </c>
      <c r="B299" s="78" t="s">
        <v>2160</v>
      </c>
      <c r="C299" s="78" t="s">
        <v>2158</v>
      </c>
      <c r="D299" s="78" t="s">
        <v>2161</v>
      </c>
      <c r="E299" s="78"/>
      <c r="F299" s="72" t="s">
        <v>8</v>
      </c>
      <c r="G299" s="74"/>
      <c r="H299" s="74"/>
      <c r="I299" s="74"/>
    </row>
    <row r="300">
      <c r="A300" s="77">
        <v>8.0</v>
      </c>
      <c r="B300" s="78" t="s">
        <v>2162</v>
      </c>
      <c r="C300" s="78" t="s">
        <v>2163</v>
      </c>
      <c r="D300" s="78" t="s">
        <v>1013</v>
      </c>
      <c r="E300" s="74"/>
      <c r="F300" s="72" t="s">
        <v>8</v>
      </c>
      <c r="G300" s="74"/>
      <c r="H300" s="74"/>
      <c r="I300" s="74"/>
    </row>
    <row r="301">
      <c r="A301" s="77">
        <v>9.0</v>
      </c>
      <c r="B301" s="78" t="s">
        <v>2164</v>
      </c>
      <c r="C301" s="78" t="s">
        <v>1503</v>
      </c>
      <c r="D301" s="78" t="s">
        <v>1283</v>
      </c>
      <c r="E301" s="74"/>
      <c r="F301" s="72" t="s">
        <v>8</v>
      </c>
      <c r="G301" s="74"/>
      <c r="H301" s="74"/>
      <c r="I301" s="74"/>
    </row>
    <row r="302">
      <c r="A302" s="77">
        <v>10.0</v>
      </c>
      <c r="B302" s="78" t="s">
        <v>2165</v>
      </c>
      <c r="C302" s="78" t="s">
        <v>2166</v>
      </c>
      <c r="D302" s="78" t="s">
        <v>1978</v>
      </c>
      <c r="E302" s="74"/>
      <c r="F302" s="72" t="s">
        <v>8</v>
      </c>
      <c r="G302" s="74"/>
      <c r="H302" s="74"/>
      <c r="I302" s="74"/>
    </row>
    <row r="303">
      <c r="A303" s="77">
        <v>11.0</v>
      </c>
      <c r="B303" s="78" t="s">
        <v>2167</v>
      </c>
      <c r="C303" s="78" t="s">
        <v>2168</v>
      </c>
      <c r="D303" s="78" t="s">
        <v>2169</v>
      </c>
      <c r="E303" s="74"/>
      <c r="F303" s="72" t="s">
        <v>8</v>
      </c>
      <c r="G303" s="74"/>
      <c r="H303" s="74"/>
      <c r="I303" s="74"/>
    </row>
    <row r="304">
      <c r="A304" s="77">
        <v>13.0</v>
      </c>
      <c r="B304" s="78" t="s">
        <v>2170</v>
      </c>
      <c r="C304" s="78" t="s">
        <v>1133</v>
      </c>
      <c r="D304" s="78" t="s">
        <v>2171</v>
      </c>
      <c r="E304" s="83"/>
      <c r="F304" s="72" t="s">
        <v>8</v>
      </c>
      <c r="G304" s="83"/>
      <c r="H304" s="83"/>
      <c r="I304" s="83"/>
    </row>
    <row r="305">
      <c r="A305" s="77">
        <v>12.0</v>
      </c>
      <c r="B305" s="78" t="s">
        <v>682</v>
      </c>
      <c r="C305" s="78" t="s">
        <v>2146</v>
      </c>
      <c r="D305" s="78" t="s">
        <v>1188</v>
      </c>
      <c r="E305" s="83"/>
      <c r="F305" s="72" t="s">
        <v>8</v>
      </c>
      <c r="G305" s="83"/>
      <c r="H305" s="83"/>
      <c r="I305" s="83"/>
    </row>
    <row r="306">
      <c r="A306" s="77">
        <v>13.0</v>
      </c>
      <c r="B306" s="78" t="s">
        <v>735</v>
      </c>
      <c r="C306" s="78" t="s">
        <v>2146</v>
      </c>
      <c r="D306" s="78" t="s">
        <v>1188</v>
      </c>
      <c r="E306" s="83"/>
      <c r="F306" s="72" t="s">
        <v>8</v>
      </c>
      <c r="G306" s="83"/>
      <c r="H306" s="83"/>
      <c r="I306" s="83"/>
    </row>
    <row r="307">
      <c r="A307" s="77">
        <v>14.0</v>
      </c>
      <c r="B307" s="78" t="s">
        <v>1726</v>
      </c>
      <c r="C307" s="78" t="s">
        <v>1727</v>
      </c>
      <c r="D307" s="78" t="s">
        <v>1728</v>
      </c>
      <c r="E307" s="74"/>
      <c r="F307" s="72" t="s">
        <v>8</v>
      </c>
      <c r="G307" s="74"/>
      <c r="H307" s="74"/>
      <c r="I307" s="74"/>
    </row>
    <row r="308" ht="15.75" customHeight="1">
      <c r="A308" s="66" t="s">
        <v>2172</v>
      </c>
      <c r="B308" s="91"/>
      <c r="C308" s="91"/>
      <c r="D308" s="67"/>
      <c r="E308" s="79"/>
      <c r="F308" s="103"/>
      <c r="G308" s="80"/>
      <c r="H308" s="80"/>
      <c r="I308" s="80"/>
    </row>
    <row r="309">
      <c r="A309" s="77">
        <v>1.0</v>
      </c>
      <c r="B309" s="78" t="s">
        <v>2173</v>
      </c>
      <c r="C309" s="78" t="s">
        <v>2174</v>
      </c>
      <c r="D309" s="78" t="s">
        <v>2175</v>
      </c>
      <c r="E309" s="78"/>
      <c r="F309" s="72" t="s">
        <v>8</v>
      </c>
      <c r="G309" s="74"/>
      <c r="H309" s="74"/>
      <c r="I309" s="74"/>
    </row>
    <row r="310">
      <c r="A310" s="77">
        <v>2.0</v>
      </c>
      <c r="B310" s="78" t="s">
        <v>2176</v>
      </c>
      <c r="C310" s="78" t="s">
        <v>2177</v>
      </c>
      <c r="D310" s="78" t="s">
        <v>2178</v>
      </c>
      <c r="E310" s="78"/>
      <c r="F310" s="72" t="s">
        <v>8</v>
      </c>
      <c r="G310" s="74"/>
      <c r="H310" s="74"/>
      <c r="I310" s="74"/>
    </row>
    <row r="311">
      <c r="A311" s="77">
        <v>3.0</v>
      </c>
      <c r="B311" s="78" t="s">
        <v>2179</v>
      </c>
      <c r="C311" s="78" t="s">
        <v>2180</v>
      </c>
      <c r="D311" s="78" t="s">
        <v>2181</v>
      </c>
      <c r="E311" s="78"/>
      <c r="F311" s="72" t="s">
        <v>8</v>
      </c>
      <c r="G311" s="74"/>
      <c r="H311" s="74"/>
      <c r="I311" s="74"/>
    </row>
    <row r="312">
      <c r="A312" s="77">
        <v>4.0</v>
      </c>
      <c r="B312" s="78" t="s">
        <v>2182</v>
      </c>
      <c r="C312" s="78" t="s">
        <v>2183</v>
      </c>
      <c r="D312" s="78" t="s">
        <v>2184</v>
      </c>
      <c r="E312" s="78"/>
      <c r="F312" s="72" t="s">
        <v>8</v>
      </c>
      <c r="G312" s="74"/>
      <c r="H312" s="74"/>
      <c r="I312" s="74"/>
    </row>
    <row r="313">
      <c r="A313" s="77">
        <v>5.0</v>
      </c>
      <c r="B313" s="78" t="s">
        <v>2185</v>
      </c>
      <c r="C313" s="78" t="s">
        <v>2186</v>
      </c>
      <c r="D313" s="78" t="s">
        <v>2187</v>
      </c>
      <c r="E313" s="78"/>
      <c r="F313" s="72" t="s">
        <v>8</v>
      </c>
      <c r="G313" s="74"/>
      <c r="H313" s="74"/>
      <c r="I313" s="74"/>
    </row>
    <row r="314">
      <c r="A314" s="77">
        <v>6.0</v>
      </c>
      <c r="B314" s="78" t="s">
        <v>2188</v>
      </c>
      <c r="C314" s="78" t="s">
        <v>2189</v>
      </c>
      <c r="D314" s="78" t="s">
        <v>2190</v>
      </c>
      <c r="E314" s="78"/>
      <c r="F314" s="72" t="s">
        <v>8</v>
      </c>
      <c r="G314" s="74"/>
      <c r="H314" s="74"/>
      <c r="I314" s="74"/>
    </row>
    <row r="315" ht="15.75" customHeight="1">
      <c r="A315" s="66" t="s">
        <v>2191</v>
      </c>
      <c r="B315" s="91"/>
      <c r="C315" s="91"/>
      <c r="D315" s="67"/>
      <c r="E315" s="79"/>
      <c r="F315" s="103"/>
      <c r="G315" s="80"/>
      <c r="H315" s="80"/>
      <c r="I315" s="80"/>
    </row>
    <row r="316">
      <c r="A316" s="77">
        <v>1.0</v>
      </c>
      <c r="B316" s="97" t="s">
        <v>2192</v>
      </c>
      <c r="C316" s="97" t="s">
        <v>2193</v>
      </c>
      <c r="D316" s="97" t="s">
        <v>2194</v>
      </c>
      <c r="E316" s="72"/>
      <c r="F316" s="72" t="s">
        <v>8</v>
      </c>
      <c r="G316" s="72"/>
      <c r="H316" s="72"/>
      <c r="I316" s="72"/>
    </row>
    <row r="317">
      <c r="A317" s="77">
        <v>2.0</v>
      </c>
      <c r="B317" s="97" t="s">
        <v>2195</v>
      </c>
      <c r="C317" s="97" t="s">
        <v>2196</v>
      </c>
      <c r="D317" s="83" t="s">
        <v>2197</v>
      </c>
      <c r="E317" s="77"/>
      <c r="F317" s="72" t="s">
        <v>8</v>
      </c>
      <c r="G317" s="72"/>
      <c r="H317" s="72"/>
      <c r="I317" s="72"/>
    </row>
    <row r="318">
      <c r="A318" s="77">
        <v>3.0</v>
      </c>
      <c r="B318" s="97" t="s">
        <v>2198</v>
      </c>
      <c r="C318" s="97" t="s">
        <v>2199</v>
      </c>
      <c r="D318" s="83" t="s">
        <v>2200</v>
      </c>
      <c r="E318" s="77"/>
      <c r="F318" s="72" t="s">
        <v>8</v>
      </c>
      <c r="G318" s="72"/>
      <c r="H318" s="72"/>
      <c r="I318" s="72"/>
    </row>
    <row r="319">
      <c r="A319" s="77">
        <v>4.0</v>
      </c>
      <c r="B319" s="97" t="s">
        <v>2185</v>
      </c>
      <c r="C319" s="97" t="s">
        <v>2186</v>
      </c>
      <c r="D319" s="97" t="s">
        <v>2187</v>
      </c>
      <c r="E319" s="77"/>
      <c r="F319" s="72" t="s">
        <v>8</v>
      </c>
      <c r="G319" s="72"/>
      <c r="H319" s="72"/>
      <c r="I319" s="72"/>
    </row>
    <row r="320">
      <c r="A320" s="72">
        <v>5.0</v>
      </c>
      <c r="B320" s="83" t="s">
        <v>2201</v>
      </c>
      <c r="C320" s="97" t="s">
        <v>2202</v>
      </c>
      <c r="D320" s="97" t="s">
        <v>2203</v>
      </c>
      <c r="E320" s="72"/>
      <c r="F320" s="72" t="s">
        <v>8</v>
      </c>
      <c r="G320" s="72"/>
      <c r="H320" s="72"/>
      <c r="I320" s="72"/>
    </row>
    <row r="321">
      <c r="A321" s="77">
        <v>6.0</v>
      </c>
      <c r="B321" s="78" t="s">
        <v>2188</v>
      </c>
      <c r="C321" s="78" t="s">
        <v>2189</v>
      </c>
      <c r="D321" s="78" t="s">
        <v>2190</v>
      </c>
      <c r="E321" s="78"/>
      <c r="F321" s="72" t="s">
        <v>8</v>
      </c>
      <c r="G321" s="74"/>
      <c r="H321" s="74"/>
      <c r="I321" s="74"/>
    </row>
    <row r="322" ht="15.75" customHeight="1">
      <c r="A322" s="66" t="s">
        <v>2204</v>
      </c>
      <c r="B322" s="91"/>
      <c r="C322" s="91"/>
      <c r="D322" s="67"/>
      <c r="E322" s="79"/>
      <c r="F322" s="103"/>
      <c r="G322" s="80"/>
      <c r="H322" s="80"/>
      <c r="I322" s="80"/>
    </row>
    <row r="323">
      <c r="A323" s="77">
        <v>1.0</v>
      </c>
      <c r="B323" s="97" t="s">
        <v>2205</v>
      </c>
      <c r="C323" s="97" t="s">
        <v>2206</v>
      </c>
      <c r="D323" s="83" t="s">
        <v>2207</v>
      </c>
      <c r="E323" s="72"/>
      <c r="F323" s="72" t="s">
        <v>8</v>
      </c>
      <c r="G323" s="72"/>
      <c r="H323" s="72"/>
      <c r="I323" s="72"/>
    </row>
    <row r="324">
      <c r="A324" s="72">
        <v>2.0</v>
      </c>
      <c r="B324" s="83" t="s">
        <v>2208</v>
      </c>
      <c r="C324" s="97" t="s">
        <v>2209</v>
      </c>
      <c r="D324" s="83" t="s">
        <v>2210</v>
      </c>
      <c r="E324" s="78"/>
      <c r="F324" s="72" t="s">
        <v>8</v>
      </c>
      <c r="G324" s="72"/>
      <c r="H324" s="72"/>
      <c r="I324" s="72"/>
    </row>
    <row r="325">
      <c r="A325" s="72">
        <v>3.0</v>
      </c>
      <c r="B325" s="83" t="s">
        <v>2211</v>
      </c>
      <c r="C325" s="97" t="s">
        <v>2199</v>
      </c>
      <c r="D325" s="83" t="s">
        <v>2200</v>
      </c>
      <c r="E325" s="78"/>
      <c r="F325" s="72" t="s">
        <v>8</v>
      </c>
      <c r="G325" s="74"/>
      <c r="H325" s="74"/>
      <c r="I325" s="74"/>
    </row>
    <row r="326">
      <c r="A326" s="77">
        <v>4.0</v>
      </c>
      <c r="B326" s="74" t="s">
        <v>2185</v>
      </c>
      <c r="C326" s="74" t="s">
        <v>2186</v>
      </c>
      <c r="D326" s="74" t="s">
        <v>2187</v>
      </c>
      <c r="E326" s="74"/>
      <c r="F326" s="72" t="s">
        <v>8</v>
      </c>
      <c r="G326" s="74"/>
      <c r="H326" s="74"/>
      <c r="I326" s="74"/>
    </row>
    <row r="327">
      <c r="A327" s="77">
        <v>5.0</v>
      </c>
      <c r="B327" s="74" t="s">
        <v>2201</v>
      </c>
      <c r="C327" s="74" t="s">
        <v>2202</v>
      </c>
      <c r="D327" s="74" t="s">
        <v>2203</v>
      </c>
      <c r="E327" s="74"/>
      <c r="F327" s="72" t="s">
        <v>8</v>
      </c>
      <c r="G327" s="74"/>
      <c r="H327" s="74"/>
      <c r="I327" s="74"/>
    </row>
    <row r="328">
      <c r="A328" s="77">
        <v>6.0</v>
      </c>
      <c r="B328" s="74" t="s">
        <v>2188</v>
      </c>
      <c r="C328" s="74" t="s">
        <v>2189</v>
      </c>
      <c r="D328" s="74" t="s">
        <v>2190</v>
      </c>
      <c r="E328" s="74"/>
      <c r="F328" s="72" t="s">
        <v>8</v>
      </c>
      <c r="G328" s="74"/>
      <c r="H328" s="74"/>
      <c r="I328" s="74"/>
    </row>
    <row r="329" ht="15.75" customHeight="1">
      <c r="A329" s="66" t="s">
        <v>2212</v>
      </c>
      <c r="B329" s="91"/>
      <c r="C329" s="91"/>
      <c r="D329" s="67"/>
      <c r="E329" s="79"/>
      <c r="F329" s="103"/>
      <c r="G329" s="80"/>
      <c r="H329" s="80"/>
      <c r="I329" s="80"/>
    </row>
    <row r="330">
      <c r="A330" s="77">
        <v>1.0</v>
      </c>
      <c r="B330" s="78" t="s">
        <v>2213</v>
      </c>
      <c r="C330" s="78" t="s">
        <v>2214</v>
      </c>
      <c r="D330" s="78" t="s">
        <v>2215</v>
      </c>
      <c r="E330" s="74"/>
      <c r="F330" s="72" t="s">
        <v>8</v>
      </c>
      <c r="G330" s="74"/>
      <c r="H330" s="74"/>
      <c r="I330" s="74"/>
    </row>
    <row r="331">
      <c r="A331" s="77">
        <v>2.0</v>
      </c>
      <c r="B331" s="78" t="s">
        <v>2198</v>
      </c>
      <c r="C331" s="78" t="s">
        <v>2199</v>
      </c>
      <c r="D331" s="78" t="s">
        <v>2200</v>
      </c>
      <c r="E331" s="78"/>
      <c r="F331" s="72" t="s">
        <v>8</v>
      </c>
      <c r="G331" s="74"/>
      <c r="H331" s="74"/>
      <c r="I331" s="74"/>
    </row>
    <row r="332">
      <c r="A332" s="77">
        <v>3.0</v>
      </c>
      <c r="B332" s="74" t="s">
        <v>2185</v>
      </c>
      <c r="C332" s="74" t="s">
        <v>2186</v>
      </c>
      <c r="D332" s="74" t="s">
        <v>2187</v>
      </c>
      <c r="E332" s="74"/>
      <c r="F332" s="72" t="s">
        <v>8</v>
      </c>
      <c r="G332" s="74"/>
      <c r="H332" s="74"/>
      <c r="I332" s="74"/>
    </row>
    <row r="333">
      <c r="A333" s="77">
        <v>4.0</v>
      </c>
      <c r="B333" s="74" t="s">
        <v>2188</v>
      </c>
      <c r="C333" s="74" t="s">
        <v>2189</v>
      </c>
      <c r="D333" s="74" t="s">
        <v>2190</v>
      </c>
      <c r="E333" s="74"/>
      <c r="F333" s="72" t="s">
        <v>8</v>
      </c>
      <c r="G333" s="74"/>
      <c r="H333" s="74"/>
      <c r="I333" s="74"/>
    </row>
    <row r="334">
      <c r="A334" s="77">
        <v>5.0</v>
      </c>
      <c r="B334" s="78" t="s">
        <v>2216</v>
      </c>
      <c r="C334" s="78" t="s">
        <v>2217</v>
      </c>
      <c r="D334" s="78" t="s">
        <v>2218</v>
      </c>
      <c r="E334" s="78"/>
      <c r="F334" s="72" t="s">
        <v>8</v>
      </c>
      <c r="G334" s="74"/>
      <c r="H334" s="74"/>
      <c r="I334" s="74"/>
    </row>
    <row r="335">
      <c r="A335" s="77">
        <v>6.0</v>
      </c>
      <c r="B335" s="78" t="s">
        <v>2219</v>
      </c>
      <c r="C335" s="78" t="s">
        <v>2220</v>
      </c>
      <c r="D335" s="78" t="s">
        <v>2221</v>
      </c>
      <c r="E335" s="78"/>
      <c r="F335" s="72" t="s">
        <v>8</v>
      </c>
      <c r="G335" s="74"/>
      <c r="H335" s="74"/>
      <c r="I335" s="74"/>
    </row>
    <row r="336">
      <c r="A336" s="77">
        <v>7.0</v>
      </c>
      <c r="B336" s="78" t="s">
        <v>2222</v>
      </c>
      <c r="C336" s="78" t="s">
        <v>2223</v>
      </c>
      <c r="D336" s="78" t="s">
        <v>2224</v>
      </c>
      <c r="E336" s="78"/>
      <c r="F336" s="72" t="s">
        <v>8</v>
      </c>
      <c r="G336" s="74"/>
      <c r="H336" s="74"/>
      <c r="I336" s="74"/>
    </row>
    <row r="337" ht="15.75" customHeight="1">
      <c r="A337" s="66" t="s">
        <v>2225</v>
      </c>
      <c r="B337" s="91"/>
      <c r="C337" s="91"/>
      <c r="D337" s="67"/>
      <c r="E337" s="79"/>
      <c r="F337" s="103"/>
      <c r="G337" s="80"/>
      <c r="H337" s="80"/>
      <c r="I337" s="80"/>
    </row>
    <row r="338">
      <c r="A338" s="77">
        <v>1.0</v>
      </c>
      <c r="B338" s="78" t="s">
        <v>2226</v>
      </c>
      <c r="C338" s="78" t="s">
        <v>2227</v>
      </c>
      <c r="D338" s="78" t="s">
        <v>2215</v>
      </c>
      <c r="E338" s="78"/>
      <c r="F338" s="72" t="s">
        <v>8</v>
      </c>
      <c r="G338" s="74"/>
      <c r="H338" s="74"/>
      <c r="I338" s="74"/>
    </row>
    <row r="339">
      <c r="A339" s="77">
        <v>2.0</v>
      </c>
      <c r="B339" s="78" t="s">
        <v>2198</v>
      </c>
      <c r="C339" s="78" t="s">
        <v>2199</v>
      </c>
      <c r="D339" s="78" t="s">
        <v>2200</v>
      </c>
      <c r="E339" s="78"/>
      <c r="F339" s="72" t="s">
        <v>8</v>
      </c>
      <c r="G339" s="74"/>
      <c r="H339" s="74"/>
      <c r="I339" s="74"/>
    </row>
    <row r="340">
      <c r="A340" s="77">
        <v>3.0</v>
      </c>
      <c r="B340" s="74" t="s">
        <v>2185</v>
      </c>
      <c r="C340" s="74" t="s">
        <v>2186</v>
      </c>
      <c r="D340" s="74" t="s">
        <v>2187</v>
      </c>
      <c r="E340" s="74"/>
      <c r="F340" s="72" t="s">
        <v>8</v>
      </c>
      <c r="G340" s="74"/>
      <c r="H340" s="74"/>
      <c r="I340" s="74"/>
    </row>
    <row r="341">
      <c r="A341" s="77">
        <v>4.0</v>
      </c>
      <c r="B341" s="74" t="s">
        <v>2188</v>
      </c>
      <c r="C341" s="74" t="s">
        <v>2189</v>
      </c>
      <c r="D341" s="74" t="s">
        <v>2190</v>
      </c>
      <c r="E341" s="74"/>
      <c r="F341" s="72" t="s">
        <v>8</v>
      </c>
      <c r="G341" s="74"/>
      <c r="H341" s="74"/>
      <c r="I341" s="74"/>
    </row>
    <row r="342">
      <c r="A342" s="77">
        <v>5.0</v>
      </c>
      <c r="B342" s="78" t="s">
        <v>2228</v>
      </c>
      <c r="C342" s="78" t="s">
        <v>2229</v>
      </c>
      <c r="D342" s="78" t="s">
        <v>2230</v>
      </c>
      <c r="E342" s="74"/>
      <c r="F342" s="72" t="s">
        <v>8</v>
      </c>
      <c r="G342" s="74"/>
      <c r="H342" s="74"/>
      <c r="I342" s="74"/>
    </row>
    <row r="343">
      <c r="A343" s="77">
        <v>6.0</v>
      </c>
      <c r="B343" s="78" t="s">
        <v>2231</v>
      </c>
      <c r="C343" s="78" t="s">
        <v>2232</v>
      </c>
      <c r="D343" s="78" t="s">
        <v>2233</v>
      </c>
      <c r="E343" s="78"/>
      <c r="F343" s="72" t="s">
        <v>8</v>
      </c>
      <c r="G343" s="74"/>
      <c r="H343" s="74"/>
      <c r="I343" s="74"/>
    </row>
    <row r="344" ht="15.75" customHeight="1">
      <c r="A344" s="66" t="s">
        <v>47</v>
      </c>
      <c r="B344" s="91"/>
      <c r="C344" s="91"/>
      <c r="D344" s="67"/>
      <c r="E344" s="79"/>
      <c r="F344" s="103"/>
      <c r="G344" s="80"/>
      <c r="H344" s="80"/>
      <c r="I344" s="80"/>
    </row>
    <row r="345">
      <c r="A345" s="77">
        <v>1.0</v>
      </c>
      <c r="B345" s="97" t="s">
        <v>2234</v>
      </c>
      <c r="C345" s="97" t="s">
        <v>2235</v>
      </c>
      <c r="D345" s="97" t="s">
        <v>808</v>
      </c>
      <c r="E345" s="97"/>
      <c r="F345" s="72" t="s">
        <v>8</v>
      </c>
      <c r="G345" s="74"/>
      <c r="H345" s="74"/>
      <c r="I345" s="74"/>
    </row>
    <row r="346">
      <c r="A346" s="77">
        <v>2.0</v>
      </c>
      <c r="B346" s="97" t="s">
        <v>2236</v>
      </c>
      <c r="C346" s="97" t="s">
        <v>2237</v>
      </c>
      <c r="D346" s="97" t="s">
        <v>2238</v>
      </c>
      <c r="E346" s="97"/>
      <c r="F346" s="72" t="s">
        <v>8</v>
      </c>
      <c r="G346" s="74"/>
      <c r="H346" s="74"/>
      <c r="I346" s="74"/>
    </row>
    <row r="347">
      <c r="A347" s="77">
        <v>3.0</v>
      </c>
      <c r="B347" s="97" t="s">
        <v>2239</v>
      </c>
      <c r="C347" s="97" t="s">
        <v>2240</v>
      </c>
      <c r="D347" s="97" t="s">
        <v>374</v>
      </c>
      <c r="E347" s="97"/>
      <c r="F347" s="72" t="s">
        <v>8</v>
      </c>
      <c r="G347" s="74"/>
      <c r="H347" s="74"/>
      <c r="I347" s="74"/>
    </row>
    <row r="348" ht="24.0" customHeight="1">
      <c r="A348" s="77">
        <v>4.0</v>
      </c>
      <c r="B348" s="97" t="s">
        <v>2241</v>
      </c>
      <c r="C348" s="97" t="s">
        <v>2242</v>
      </c>
      <c r="D348" s="97" t="s">
        <v>2243</v>
      </c>
      <c r="E348" s="97"/>
      <c r="F348" s="72" t="s">
        <v>8</v>
      </c>
      <c r="G348" s="74"/>
      <c r="H348" s="74"/>
      <c r="I348" s="74"/>
    </row>
    <row r="349">
      <c r="A349" s="77">
        <v>5.0</v>
      </c>
      <c r="B349" s="97" t="s">
        <v>2244</v>
      </c>
      <c r="C349" s="97" t="s">
        <v>2245</v>
      </c>
      <c r="D349" s="97" t="s">
        <v>2246</v>
      </c>
      <c r="E349" s="97"/>
      <c r="F349" s="72" t="s">
        <v>8</v>
      </c>
      <c r="G349" s="74"/>
      <c r="H349" s="78"/>
      <c r="I349" s="78"/>
    </row>
    <row r="350">
      <c r="A350" s="77">
        <v>6.0</v>
      </c>
      <c r="B350" s="97" t="s">
        <v>2247</v>
      </c>
      <c r="C350" s="97" t="s">
        <v>2248</v>
      </c>
      <c r="D350" s="97" t="s">
        <v>1283</v>
      </c>
      <c r="E350" s="97"/>
      <c r="F350" s="72" t="s">
        <v>8</v>
      </c>
      <c r="G350" s="74"/>
      <c r="H350" s="78"/>
      <c r="I350" s="78"/>
    </row>
    <row r="351">
      <c r="A351" s="77">
        <v>7.0</v>
      </c>
      <c r="B351" s="97" t="s">
        <v>2249</v>
      </c>
      <c r="C351" s="97" t="s">
        <v>2250</v>
      </c>
      <c r="D351" s="97" t="s">
        <v>2251</v>
      </c>
      <c r="E351" s="97"/>
      <c r="F351" s="72" t="s">
        <v>8</v>
      </c>
      <c r="G351" s="74"/>
      <c r="H351" s="78"/>
      <c r="I351" s="78"/>
    </row>
    <row r="352">
      <c r="A352" s="77">
        <v>8.0</v>
      </c>
      <c r="B352" s="104" t="s">
        <v>2252</v>
      </c>
      <c r="C352" s="97" t="s">
        <v>2253</v>
      </c>
      <c r="D352" s="97" t="s">
        <v>2254</v>
      </c>
      <c r="E352" s="97"/>
      <c r="F352" s="75" t="s">
        <v>8</v>
      </c>
      <c r="G352" s="74"/>
      <c r="H352" s="78"/>
      <c r="I352" s="78"/>
    </row>
    <row r="353">
      <c r="A353" s="77">
        <v>10.0</v>
      </c>
      <c r="B353" s="97" t="s">
        <v>2255</v>
      </c>
      <c r="C353" s="97" t="s">
        <v>2256</v>
      </c>
      <c r="D353" s="97" t="s">
        <v>2257</v>
      </c>
      <c r="E353" s="97"/>
      <c r="F353" s="72" t="s">
        <v>8</v>
      </c>
      <c r="G353" s="74"/>
      <c r="H353" s="78"/>
      <c r="I353" s="78"/>
    </row>
    <row r="354">
      <c r="A354" s="77">
        <v>11.0</v>
      </c>
      <c r="B354" s="97" t="s">
        <v>682</v>
      </c>
      <c r="C354" s="97" t="s">
        <v>731</v>
      </c>
      <c r="D354" s="97" t="s">
        <v>2258</v>
      </c>
      <c r="E354" s="97"/>
      <c r="F354" s="72" t="s">
        <v>8</v>
      </c>
      <c r="G354" s="74"/>
      <c r="H354" s="78"/>
      <c r="I354" s="78"/>
    </row>
    <row r="355">
      <c r="A355" s="77">
        <v>12.0</v>
      </c>
      <c r="B355" s="78" t="s">
        <v>1726</v>
      </c>
      <c r="C355" s="78" t="s">
        <v>1727</v>
      </c>
      <c r="D355" s="78" t="s">
        <v>1728</v>
      </c>
      <c r="E355" s="74"/>
      <c r="F355" s="72" t="s">
        <v>8</v>
      </c>
      <c r="G355" s="74"/>
      <c r="H355" s="74"/>
      <c r="I355" s="74"/>
    </row>
    <row r="356" ht="15.75" customHeight="1">
      <c r="A356" s="66" t="s">
        <v>2259</v>
      </c>
      <c r="B356" s="91"/>
      <c r="C356" s="91"/>
      <c r="D356" s="91"/>
      <c r="E356" s="91"/>
      <c r="F356" s="91"/>
      <c r="G356" s="91"/>
      <c r="H356" s="67"/>
      <c r="I356" s="101"/>
    </row>
    <row r="357">
      <c r="A357" s="70">
        <v>1.0</v>
      </c>
      <c r="B357" s="71" t="s">
        <v>2260</v>
      </c>
      <c r="C357" s="71" t="s">
        <v>2261</v>
      </c>
      <c r="D357" s="71" t="s">
        <v>2262</v>
      </c>
      <c r="E357" s="71"/>
      <c r="F357" s="77" t="s">
        <v>8</v>
      </c>
      <c r="G357" s="78"/>
      <c r="H357" s="74"/>
      <c r="I357" s="74"/>
    </row>
    <row r="358">
      <c r="A358" s="70">
        <v>2.0</v>
      </c>
      <c r="B358" s="71" t="s">
        <v>2263</v>
      </c>
      <c r="C358" s="71" t="s">
        <v>2264</v>
      </c>
      <c r="D358" s="71" t="s">
        <v>2265</v>
      </c>
      <c r="E358" s="71"/>
      <c r="F358" s="77" t="s">
        <v>8</v>
      </c>
      <c r="G358" s="78"/>
      <c r="H358" s="74"/>
      <c r="I358" s="74"/>
    </row>
    <row r="359">
      <c r="A359" s="70">
        <v>3.0</v>
      </c>
      <c r="B359" s="71" t="s">
        <v>2266</v>
      </c>
      <c r="C359" s="71" t="s">
        <v>309</v>
      </c>
      <c r="D359" s="71" t="s">
        <v>310</v>
      </c>
      <c r="E359" s="71"/>
      <c r="F359" s="77" t="s">
        <v>8</v>
      </c>
      <c r="G359" s="78"/>
      <c r="H359" s="74"/>
      <c r="I359" s="74"/>
    </row>
    <row r="360">
      <c r="A360" s="70">
        <v>4.0</v>
      </c>
      <c r="B360" s="71" t="s">
        <v>2267</v>
      </c>
      <c r="C360" s="71" t="s">
        <v>2268</v>
      </c>
      <c r="D360" s="71" t="s">
        <v>2269</v>
      </c>
      <c r="E360" s="71"/>
      <c r="F360" s="95" t="s">
        <v>8</v>
      </c>
      <c r="G360" s="78"/>
      <c r="H360" s="74"/>
      <c r="I360" s="74"/>
    </row>
    <row r="361">
      <c r="A361" s="70">
        <v>5.0</v>
      </c>
      <c r="B361" s="71" t="s">
        <v>2270</v>
      </c>
      <c r="C361" s="71" t="s">
        <v>2271</v>
      </c>
      <c r="D361" s="71" t="s">
        <v>2272</v>
      </c>
      <c r="E361" s="71"/>
      <c r="F361" s="95" t="s">
        <v>8</v>
      </c>
      <c r="G361" s="78"/>
      <c r="H361" s="74"/>
      <c r="I361" s="74"/>
    </row>
    <row r="362">
      <c r="A362" s="70">
        <v>6.0</v>
      </c>
      <c r="B362" s="71" t="s">
        <v>2273</v>
      </c>
      <c r="C362" s="71" t="s">
        <v>2274</v>
      </c>
      <c r="D362" s="71" t="s">
        <v>2275</v>
      </c>
      <c r="E362" s="71"/>
      <c r="F362" s="77" t="s">
        <v>8</v>
      </c>
      <c r="G362" s="78"/>
      <c r="H362" s="74"/>
      <c r="I362" s="74"/>
    </row>
    <row r="363">
      <c r="A363" s="70">
        <v>7.0</v>
      </c>
      <c r="B363" s="71" t="s">
        <v>2276</v>
      </c>
      <c r="C363" s="71" t="s">
        <v>2277</v>
      </c>
      <c r="D363" s="71" t="s">
        <v>2278</v>
      </c>
      <c r="E363" s="71"/>
      <c r="F363" s="77" t="s">
        <v>8</v>
      </c>
      <c r="G363" s="78"/>
      <c r="H363" s="74"/>
      <c r="I363" s="74"/>
    </row>
    <row r="364">
      <c r="A364" s="70">
        <v>8.0</v>
      </c>
      <c r="B364" s="71" t="s">
        <v>2279</v>
      </c>
      <c r="C364" s="71" t="s">
        <v>2280</v>
      </c>
      <c r="D364" s="71" t="s">
        <v>2281</v>
      </c>
      <c r="E364" s="71"/>
      <c r="F364" s="77" t="s">
        <v>8</v>
      </c>
      <c r="G364" s="78"/>
      <c r="H364" s="74"/>
      <c r="I364" s="74"/>
    </row>
    <row r="365">
      <c r="A365" s="70">
        <v>9.0</v>
      </c>
      <c r="B365" s="71" t="s">
        <v>2282</v>
      </c>
      <c r="C365" s="71" t="s">
        <v>2283</v>
      </c>
      <c r="D365" s="71" t="s">
        <v>2284</v>
      </c>
      <c r="E365" s="71"/>
      <c r="F365" s="77" t="s">
        <v>8</v>
      </c>
      <c r="G365" s="78"/>
      <c r="H365" s="74"/>
      <c r="I365" s="74"/>
    </row>
    <row r="366">
      <c r="A366" s="70">
        <v>10.0</v>
      </c>
      <c r="B366" s="71" t="s">
        <v>2285</v>
      </c>
      <c r="C366" s="71" t="s">
        <v>2286</v>
      </c>
      <c r="D366" s="71" t="s">
        <v>2287</v>
      </c>
      <c r="E366" s="71"/>
      <c r="F366" s="77" t="s">
        <v>8</v>
      </c>
      <c r="G366" s="78"/>
      <c r="H366" s="74"/>
      <c r="I366" s="74"/>
    </row>
    <row r="367">
      <c r="A367" s="70">
        <v>11.0</v>
      </c>
      <c r="B367" s="71" t="s">
        <v>2288</v>
      </c>
      <c r="C367" s="71" t="s">
        <v>2289</v>
      </c>
      <c r="D367" s="71" t="s">
        <v>2290</v>
      </c>
      <c r="E367" s="71"/>
      <c r="F367" s="77" t="s">
        <v>8</v>
      </c>
      <c r="G367" s="78"/>
      <c r="H367" s="74"/>
      <c r="I367" s="74"/>
    </row>
    <row r="368">
      <c r="A368" s="70">
        <v>12.0</v>
      </c>
      <c r="B368" s="71" t="s">
        <v>2291</v>
      </c>
      <c r="C368" s="71" t="s">
        <v>2292</v>
      </c>
      <c r="D368" s="71" t="s">
        <v>2293</v>
      </c>
      <c r="E368" s="71"/>
      <c r="F368" s="77" t="s">
        <v>8</v>
      </c>
      <c r="G368" s="78"/>
      <c r="H368" s="74"/>
      <c r="I368" s="74"/>
    </row>
    <row r="369">
      <c r="A369" s="70">
        <v>13.0</v>
      </c>
      <c r="B369" s="71" t="s">
        <v>2294</v>
      </c>
      <c r="C369" s="71" t="s">
        <v>2295</v>
      </c>
      <c r="D369" s="71" t="s">
        <v>2296</v>
      </c>
      <c r="E369" s="71"/>
      <c r="F369" s="95" t="s">
        <v>8</v>
      </c>
      <c r="G369" s="78"/>
      <c r="H369" s="74"/>
      <c r="I369" s="74"/>
    </row>
    <row r="370">
      <c r="A370" s="70">
        <v>14.0</v>
      </c>
      <c r="B370" s="71" t="s">
        <v>2297</v>
      </c>
      <c r="C370" s="71" t="s">
        <v>2298</v>
      </c>
      <c r="D370" s="71" t="s">
        <v>2299</v>
      </c>
      <c r="E370" s="71"/>
      <c r="F370" s="95" t="s">
        <v>8</v>
      </c>
      <c r="G370" s="78"/>
      <c r="H370" s="74"/>
      <c r="I370" s="74"/>
    </row>
    <row r="371">
      <c r="A371" s="70">
        <v>15.0</v>
      </c>
      <c r="B371" s="71" t="s">
        <v>2300</v>
      </c>
      <c r="C371" s="71" t="s">
        <v>2301</v>
      </c>
      <c r="D371" s="71" t="s">
        <v>2302</v>
      </c>
      <c r="E371" s="71"/>
      <c r="F371" s="77" t="s">
        <v>7</v>
      </c>
      <c r="G371" s="78"/>
      <c r="H371" s="74"/>
      <c r="I371" s="74"/>
    </row>
    <row r="372">
      <c r="A372" s="70">
        <v>16.0</v>
      </c>
      <c r="B372" s="71" t="s">
        <v>2303</v>
      </c>
      <c r="C372" s="71" t="s">
        <v>2304</v>
      </c>
      <c r="D372" s="71" t="s">
        <v>2305</v>
      </c>
      <c r="E372" s="71"/>
      <c r="F372" s="95" t="s">
        <v>8</v>
      </c>
      <c r="G372" s="78"/>
      <c r="H372" s="74"/>
      <c r="I372" s="74"/>
    </row>
    <row r="373">
      <c r="A373" s="70">
        <v>17.0</v>
      </c>
      <c r="B373" s="71" t="s">
        <v>2306</v>
      </c>
      <c r="C373" s="71" t="s">
        <v>2307</v>
      </c>
      <c r="D373" s="71" t="s">
        <v>2308</v>
      </c>
      <c r="E373" s="71"/>
      <c r="F373" s="77" t="s">
        <v>7</v>
      </c>
      <c r="G373" s="78"/>
      <c r="H373" s="74"/>
      <c r="I373" s="74"/>
    </row>
    <row r="374" ht="27.75" customHeight="1">
      <c r="A374" s="70">
        <v>18.0</v>
      </c>
      <c r="B374" s="71" t="s">
        <v>2309</v>
      </c>
      <c r="C374" s="71" t="s">
        <v>2310</v>
      </c>
      <c r="D374" s="71" t="s">
        <v>2311</v>
      </c>
      <c r="E374" s="71"/>
      <c r="F374" s="77" t="s">
        <v>8</v>
      </c>
      <c r="G374" s="78"/>
      <c r="H374" s="74"/>
      <c r="I374" s="74"/>
    </row>
    <row r="375" ht="15.75" customHeight="1">
      <c r="A375" s="66" t="s">
        <v>2312</v>
      </c>
      <c r="B375" s="91"/>
      <c r="C375" s="91"/>
      <c r="D375" s="91"/>
      <c r="E375" s="91"/>
      <c r="F375" s="91"/>
      <c r="G375" s="91"/>
      <c r="H375" s="67"/>
      <c r="I375" s="101"/>
    </row>
    <row r="376">
      <c r="A376" s="70">
        <v>1.0</v>
      </c>
      <c r="B376" s="71" t="s">
        <v>2313</v>
      </c>
      <c r="C376" s="71" t="s">
        <v>2314</v>
      </c>
      <c r="D376" s="71" t="s">
        <v>2315</v>
      </c>
      <c r="E376" s="71"/>
      <c r="F376" s="77" t="s">
        <v>8</v>
      </c>
      <c r="G376" s="78"/>
      <c r="H376" s="74"/>
      <c r="I376" s="74"/>
    </row>
    <row r="377">
      <c r="A377" s="70">
        <v>2.0</v>
      </c>
      <c r="B377" s="71" t="s">
        <v>2316</v>
      </c>
      <c r="C377" s="71" t="s">
        <v>2317</v>
      </c>
      <c r="D377" s="71" t="s">
        <v>2318</v>
      </c>
      <c r="E377" s="71"/>
      <c r="F377" s="77" t="s">
        <v>8</v>
      </c>
      <c r="G377" s="78"/>
      <c r="H377" s="74"/>
      <c r="I377" s="74"/>
    </row>
    <row r="378">
      <c r="A378" s="70">
        <v>3.0</v>
      </c>
      <c r="B378" s="71" t="s">
        <v>2319</v>
      </c>
      <c r="C378" s="71" t="s">
        <v>1264</v>
      </c>
      <c r="D378" s="71" t="s">
        <v>2320</v>
      </c>
      <c r="E378" s="71"/>
      <c r="F378" s="77" t="s">
        <v>8</v>
      </c>
      <c r="G378" s="78"/>
      <c r="H378" s="74"/>
      <c r="I378" s="74"/>
    </row>
    <row r="379">
      <c r="A379" s="70">
        <v>4.0</v>
      </c>
      <c r="B379" s="71" t="s">
        <v>2321</v>
      </c>
      <c r="C379" s="71" t="s">
        <v>731</v>
      </c>
      <c r="D379" s="71" t="s">
        <v>2322</v>
      </c>
      <c r="E379" s="71"/>
      <c r="F379" s="77" t="s">
        <v>8</v>
      </c>
      <c r="G379" s="78"/>
      <c r="H379" s="74"/>
      <c r="I379" s="74"/>
    </row>
    <row r="380">
      <c r="A380" s="70">
        <v>5.0</v>
      </c>
      <c r="B380" s="71" t="s">
        <v>2323</v>
      </c>
      <c r="C380" s="71" t="s">
        <v>2324</v>
      </c>
      <c r="D380" s="71" t="s">
        <v>2325</v>
      </c>
      <c r="E380" s="71"/>
      <c r="F380" s="77" t="s">
        <v>8</v>
      </c>
      <c r="G380" s="78"/>
      <c r="H380" s="74"/>
      <c r="I380" s="74"/>
    </row>
    <row r="381">
      <c r="A381" s="70">
        <v>7.0</v>
      </c>
      <c r="B381" s="71" t="s">
        <v>1726</v>
      </c>
      <c r="C381" s="71" t="s">
        <v>1727</v>
      </c>
      <c r="D381" s="71" t="s">
        <v>1728</v>
      </c>
      <c r="E381" s="71"/>
      <c r="F381" s="77" t="s">
        <v>8</v>
      </c>
      <c r="G381" s="74"/>
      <c r="H381" s="74"/>
      <c r="I381" s="74"/>
    </row>
    <row r="382" ht="15.75" customHeight="1">
      <c r="A382" s="66" t="s">
        <v>2326</v>
      </c>
      <c r="B382" s="91"/>
      <c r="C382" s="91"/>
      <c r="D382" s="91"/>
      <c r="E382" s="91"/>
      <c r="F382" s="91"/>
      <c r="G382" s="91"/>
      <c r="H382" s="67"/>
      <c r="I382" s="101"/>
    </row>
    <row r="383">
      <c r="A383" s="70">
        <v>1.0</v>
      </c>
      <c r="B383" s="71" t="s">
        <v>2327</v>
      </c>
      <c r="C383" s="71" t="s">
        <v>2328</v>
      </c>
      <c r="D383" s="71" t="s">
        <v>2329</v>
      </c>
      <c r="E383" s="71"/>
      <c r="F383" s="77" t="s">
        <v>8</v>
      </c>
      <c r="G383" s="78"/>
      <c r="H383" s="78"/>
      <c r="I383" s="78"/>
    </row>
    <row r="384">
      <c r="A384" s="70">
        <v>2.0</v>
      </c>
      <c r="B384" s="71" t="s">
        <v>2330</v>
      </c>
      <c r="C384" s="71" t="s">
        <v>2331</v>
      </c>
      <c r="D384" s="71" t="s">
        <v>2332</v>
      </c>
      <c r="E384" s="71"/>
      <c r="F384" s="77" t="s">
        <v>8</v>
      </c>
      <c r="G384" s="78"/>
      <c r="H384" s="78"/>
      <c r="I384" s="78"/>
    </row>
    <row r="385">
      <c r="A385" s="70">
        <v>3.0</v>
      </c>
      <c r="B385" s="71" t="s">
        <v>2333</v>
      </c>
      <c r="C385" s="71" t="s">
        <v>1264</v>
      </c>
      <c r="D385" s="71" t="s">
        <v>2334</v>
      </c>
      <c r="E385" s="71"/>
      <c r="F385" s="77" t="s">
        <v>8</v>
      </c>
      <c r="G385" s="78"/>
      <c r="H385" s="78"/>
      <c r="I385" s="78"/>
    </row>
    <row r="386">
      <c r="A386" s="70">
        <v>4.0</v>
      </c>
      <c r="B386" s="71" t="s">
        <v>2335</v>
      </c>
      <c r="C386" s="71" t="s">
        <v>731</v>
      </c>
      <c r="D386" s="71" t="s">
        <v>2336</v>
      </c>
      <c r="E386" s="71"/>
      <c r="F386" s="77" t="s">
        <v>8</v>
      </c>
      <c r="G386" s="78"/>
      <c r="H386" s="78"/>
      <c r="I386" s="78"/>
    </row>
    <row r="387">
      <c r="A387" s="70">
        <v>5.0</v>
      </c>
      <c r="B387" s="71" t="s">
        <v>2337</v>
      </c>
      <c r="C387" s="71" t="s">
        <v>2338</v>
      </c>
      <c r="D387" s="71" t="s">
        <v>2339</v>
      </c>
      <c r="E387" s="71"/>
      <c r="F387" s="77" t="s">
        <v>8</v>
      </c>
      <c r="G387" s="78"/>
      <c r="H387" s="78"/>
      <c r="I387" s="78"/>
    </row>
    <row r="388">
      <c r="A388" s="70">
        <v>6.0</v>
      </c>
      <c r="B388" s="71" t="s">
        <v>2340</v>
      </c>
      <c r="C388" s="71" t="s">
        <v>2341</v>
      </c>
      <c r="D388" s="71" t="s">
        <v>2342</v>
      </c>
      <c r="E388" s="71"/>
      <c r="F388" s="77" t="s">
        <v>8</v>
      </c>
      <c r="G388" s="78"/>
      <c r="H388" s="78"/>
      <c r="I388" s="78"/>
    </row>
    <row r="389">
      <c r="A389" s="70">
        <v>7.0</v>
      </c>
      <c r="B389" s="71" t="s">
        <v>1726</v>
      </c>
      <c r="C389" s="71" t="s">
        <v>1727</v>
      </c>
      <c r="D389" s="71" t="s">
        <v>2343</v>
      </c>
      <c r="E389" s="71"/>
      <c r="F389" s="77" t="s">
        <v>8</v>
      </c>
      <c r="G389" s="74"/>
      <c r="H389" s="74"/>
      <c r="I389" s="74"/>
    </row>
    <row r="390" ht="15.75" customHeight="1">
      <c r="A390" s="66" t="s">
        <v>45</v>
      </c>
      <c r="B390" s="91"/>
      <c r="C390" s="91"/>
      <c r="D390" s="91"/>
      <c r="E390" s="91"/>
      <c r="F390" s="91"/>
      <c r="G390" s="91"/>
      <c r="H390" s="67"/>
      <c r="I390" s="101"/>
    </row>
    <row r="391">
      <c r="A391" s="77">
        <v>1.0</v>
      </c>
      <c r="B391" s="78" t="s">
        <v>2344</v>
      </c>
      <c r="C391" s="78" t="s">
        <v>2345</v>
      </c>
      <c r="D391" s="78" t="s">
        <v>2346</v>
      </c>
      <c r="E391" s="78"/>
      <c r="F391" s="95" t="s">
        <v>8</v>
      </c>
      <c r="G391" s="78"/>
      <c r="H391" s="78"/>
      <c r="I391" s="78"/>
    </row>
    <row r="392">
      <c r="A392" s="77">
        <v>2.0</v>
      </c>
      <c r="B392" s="78" t="s">
        <v>2347</v>
      </c>
      <c r="C392" s="78" t="s">
        <v>2348</v>
      </c>
      <c r="D392" s="78" t="s">
        <v>2349</v>
      </c>
      <c r="E392" s="78"/>
      <c r="F392" s="95" t="s">
        <v>8</v>
      </c>
      <c r="G392" s="78"/>
      <c r="H392" s="78"/>
      <c r="I392" s="78"/>
    </row>
    <row r="393">
      <c r="A393" s="77">
        <v>3.0</v>
      </c>
      <c r="B393" s="78" t="s">
        <v>2350</v>
      </c>
      <c r="C393" s="78" t="s">
        <v>2351</v>
      </c>
      <c r="D393" s="78" t="s">
        <v>2352</v>
      </c>
      <c r="E393" s="78"/>
      <c r="F393" s="77" t="s">
        <v>7</v>
      </c>
      <c r="G393" s="78"/>
      <c r="H393" s="78"/>
      <c r="I393" s="78"/>
    </row>
    <row r="394">
      <c r="A394" s="77">
        <v>4.0</v>
      </c>
      <c r="B394" s="78" t="s">
        <v>2353</v>
      </c>
      <c r="C394" s="78" t="s">
        <v>2354</v>
      </c>
      <c r="D394" s="78" t="s">
        <v>2355</v>
      </c>
      <c r="E394" s="78"/>
      <c r="F394" s="77" t="s">
        <v>7</v>
      </c>
      <c r="G394" s="78"/>
      <c r="H394" s="78"/>
      <c r="I394" s="78"/>
    </row>
    <row r="395" hidden="1">
      <c r="A395" s="77"/>
      <c r="B395" s="78">
        <v>5.0</v>
      </c>
      <c r="C395" s="78" t="s">
        <v>2356</v>
      </c>
      <c r="D395" s="78" t="s">
        <v>2357</v>
      </c>
      <c r="E395" s="78" t="s">
        <v>2358</v>
      </c>
      <c r="F395" s="77" t="s">
        <v>7</v>
      </c>
      <c r="G395" s="78" t="s">
        <v>2359</v>
      </c>
      <c r="H395" s="78"/>
      <c r="I395" s="78" t="s">
        <v>2360</v>
      </c>
    </row>
    <row r="396" hidden="1">
      <c r="A396" s="77"/>
      <c r="B396" s="74"/>
      <c r="C396" s="83"/>
      <c r="D396" s="83"/>
      <c r="E396" s="74"/>
      <c r="F396" s="77" t="s">
        <v>7</v>
      </c>
      <c r="G396" s="84"/>
      <c r="H396" s="74"/>
      <c r="I396" s="74"/>
    </row>
    <row r="397" hidden="1">
      <c r="A397" s="77"/>
      <c r="B397" s="74"/>
      <c r="C397" s="83"/>
      <c r="D397" s="83"/>
      <c r="E397" s="74"/>
      <c r="F397" s="77" t="s">
        <v>7</v>
      </c>
      <c r="G397" s="84"/>
      <c r="H397" s="74"/>
      <c r="I397" s="74"/>
    </row>
    <row r="398" hidden="1">
      <c r="A398" s="77"/>
      <c r="B398" s="74"/>
      <c r="C398" s="83"/>
      <c r="D398" s="83"/>
      <c r="E398" s="74"/>
      <c r="F398" s="77" t="s">
        <v>7</v>
      </c>
      <c r="G398" s="84"/>
      <c r="H398" s="74"/>
      <c r="I398" s="74"/>
    </row>
    <row r="399" hidden="1">
      <c r="A399" s="77"/>
      <c r="B399" s="74"/>
      <c r="C399" s="83"/>
      <c r="D399" s="83"/>
      <c r="E399" s="74"/>
      <c r="F399" s="77" t="s">
        <v>7</v>
      </c>
      <c r="G399" s="84"/>
      <c r="H399" s="74"/>
      <c r="I399" s="74"/>
    </row>
    <row r="400" hidden="1">
      <c r="A400" s="77"/>
      <c r="B400" s="74"/>
      <c r="C400" s="83"/>
      <c r="D400" s="83"/>
      <c r="E400" s="74"/>
      <c r="F400" s="77" t="s">
        <v>7</v>
      </c>
      <c r="G400" s="84"/>
      <c r="H400" s="74"/>
      <c r="I400" s="74"/>
    </row>
    <row r="401" ht="72.75" hidden="1" customHeight="1">
      <c r="A401" s="77"/>
      <c r="B401" s="74"/>
      <c r="C401" s="74"/>
      <c r="D401" s="74"/>
      <c r="E401" s="74"/>
      <c r="F401" s="77" t="s">
        <v>7</v>
      </c>
      <c r="G401" s="74"/>
      <c r="H401" s="74"/>
      <c r="I401" s="74"/>
    </row>
    <row r="402" ht="72.75" hidden="1" customHeight="1">
      <c r="A402" s="77"/>
      <c r="B402" s="74"/>
      <c r="C402" s="74"/>
      <c r="D402" s="74"/>
      <c r="E402" s="74"/>
      <c r="F402" s="77" t="s">
        <v>7</v>
      </c>
      <c r="G402" s="74"/>
      <c r="H402" s="74"/>
      <c r="I402" s="74"/>
    </row>
    <row r="403" ht="72.75" hidden="1" customHeight="1">
      <c r="A403" s="77"/>
      <c r="B403" s="74"/>
      <c r="C403" s="74"/>
      <c r="D403" s="74"/>
      <c r="E403" s="74"/>
      <c r="F403" s="77" t="s">
        <v>7</v>
      </c>
      <c r="G403" s="74"/>
      <c r="H403" s="74"/>
      <c r="I403" s="74"/>
    </row>
    <row r="404" ht="72.75" hidden="1" customHeight="1">
      <c r="A404" s="77"/>
      <c r="B404" s="74"/>
      <c r="C404" s="74"/>
      <c r="D404" s="74"/>
      <c r="E404" s="74"/>
      <c r="F404" s="77" t="s">
        <v>7</v>
      </c>
      <c r="G404" s="74"/>
      <c r="H404" s="74"/>
      <c r="I404" s="74"/>
    </row>
    <row r="405" ht="72.75" hidden="1" customHeight="1">
      <c r="A405" s="77"/>
      <c r="B405" s="74"/>
      <c r="C405" s="74"/>
      <c r="D405" s="74"/>
      <c r="E405" s="74"/>
      <c r="F405" s="77" t="s">
        <v>7</v>
      </c>
      <c r="G405" s="74"/>
      <c r="H405" s="74"/>
      <c r="I405" s="74"/>
    </row>
    <row r="406">
      <c r="A406" s="77">
        <v>6.0</v>
      </c>
      <c r="B406" s="78" t="s">
        <v>2361</v>
      </c>
      <c r="C406" s="78" t="s">
        <v>2362</v>
      </c>
      <c r="D406" s="78" t="s">
        <v>808</v>
      </c>
      <c r="E406" s="78"/>
      <c r="F406" s="95" t="s">
        <v>8</v>
      </c>
      <c r="G406" s="78"/>
      <c r="H406" s="78"/>
      <c r="I406" s="74"/>
    </row>
    <row r="407">
      <c r="A407" s="77">
        <v>7.0</v>
      </c>
      <c r="B407" s="78" t="s">
        <v>2363</v>
      </c>
      <c r="C407" s="78" t="s">
        <v>2364</v>
      </c>
      <c r="D407" s="78" t="s">
        <v>2352</v>
      </c>
      <c r="E407" s="78"/>
      <c r="F407" s="95" t="s">
        <v>8</v>
      </c>
      <c r="G407" s="78"/>
      <c r="H407" s="78"/>
      <c r="I407" s="74"/>
    </row>
    <row r="408">
      <c r="A408" s="77">
        <v>8.0</v>
      </c>
      <c r="B408" s="78" t="s">
        <v>2365</v>
      </c>
      <c r="C408" s="78" t="s">
        <v>2366</v>
      </c>
      <c r="D408" s="78" t="s">
        <v>2367</v>
      </c>
      <c r="E408" s="78"/>
      <c r="F408" s="77" t="s">
        <v>7</v>
      </c>
      <c r="G408" s="78"/>
      <c r="H408" s="78"/>
      <c r="I408" s="74"/>
    </row>
    <row r="409" ht="15.75" customHeight="1">
      <c r="A409" s="77">
        <v>9.0</v>
      </c>
      <c r="B409" s="78" t="s">
        <v>2368</v>
      </c>
      <c r="C409" s="78" t="s">
        <v>2369</v>
      </c>
      <c r="D409" s="78" t="s">
        <v>2370</v>
      </c>
      <c r="E409" s="78"/>
      <c r="F409" s="77" t="s">
        <v>7</v>
      </c>
      <c r="G409" s="78"/>
      <c r="H409" s="78"/>
      <c r="I409" s="74"/>
    </row>
    <row r="410">
      <c r="A410" s="77">
        <v>10.0</v>
      </c>
      <c r="B410" s="78" t="s">
        <v>2371</v>
      </c>
      <c r="C410" s="78" t="s">
        <v>2372</v>
      </c>
      <c r="D410" s="78" t="s">
        <v>2373</v>
      </c>
      <c r="E410" s="78"/>
      <c r="F410" s="77" t="s">
        <v>7</v>
      </c>
      <c r="G410" s="78"/>
      <c r="H410" s="78"/>
      <c r="I410" s="74"/>
    </row>
    <row r="411">
      <c r="A411" s="77">
        <v>11.0</v>
      </c>
      <c r="B411" s="78" t="s">
        <v>2374</v>
      </c>
      <c r="C411" s="78" t="s">
        <v>2375</v>
      </c>
      <c r="D411" s="78" t="s">
        <v>808</v>
      </c>
      <c r="E411" s="78"/>
      <c r="F411" s="77" t="s">
        <v>7</v>
      </c>
      <c r="G411" s="78"/>
      <c r="H411" s="78"/>
      <c r="I411" s="78"/>
    </row>
    <row r="412">
      <c r="A412" s="77">
        <v>12.0</v>
      </c>
      <c r="B412" s="78" t="s">
        <v>2376</v>
      </c>
      <c r="C412" s="78" t="s">
        <v>2377</v>
      </c>
      <c r="D412" s="78" t="s">
        <v>2378</v>
      </c>
      <c r="E412" s="78"/>
      <c r="F412" s="95" t="s">
        <v>8</v>
      </c>
      <c r="G412" s="78"/>
      <c r="H412" s="78"/>
      <c r="I412" s="78"/>
    </row>
    <row r="413">
      <c r="A413" s="77">
        <v>13.0</v>
      </c>
      <c r="B413" s="78" t="s">
        <v>2379</v>
      </c>
      <c r="C413" s="78" t="s">
        <v>2380</v>
      </c>
      <c r="D413" s="78" t="s">
        <v>2381</v>
      </c>
      <c r="E413" s="78"/>
      <c r="F413" s="77" t="s">
        <v>7</v>
      </c>
      <c r="G413" s="78"/>
      <c r="H413" s="78"/>
      <c r="I413" s="78"/>
    </row>
    <row r="414">
      <c r="A414" s="77">
        <v>14.0</v>
      </c>
      <c r="B414" s="78" t="s">
        <v>2382</v>
      </c>
      <c r="C414" s="78" t="s">
        <v>2383</v>
      </c>
      <c r="D414" s="78" t="s">
        <v>2384</v>
      </c>
      <c r="E414" s="78"/>
      <c r="F414" s="77" t="s">
        <v>7</v>
      </c>
      <c r="G414" s="78"/>
      <c r="H414" s="78"/>
      <c r="I414" s="78"/>
    </row>
    <row r="415">
      <c r="A415" s="77">
        <v>15.0</v>
      </c>
      <c r="B415" s="78" t="s">
        <v>2385</v>
      </c>
      <c r="C415" s="78" t="s">
        <v>2386</v>
      </c>
      <c r="D415" s="78" t="s">
        <v>2387</v>
      </c>
      <c r="E415" s="78"/>
      <c r="F415" s="77" t="s">
        <v>7</v>
      </c>
      <c r="G415" s="78"/>
      <c r="H415" s="78"/>
      <c r="I415" s="78"/>
    </row>
    <row r="416" ht="15.75" customHeight="1">
      <c r="A416" s="66" t="s">
        <v>28</v>
      </c>
      <c r="B416" s="91"/>
      <c r="C416" s="91"/>
      <c r="D416" s="91"/>
      <c r="E416" s="91"/>
      <c r="F416" s="91"/>
      <c r="G416" s="91"/>
      <c r="H416" s="67"/>
      <c r="I416" s="101"/>
    </row>
    <row r="417">
      <c r="A417" s="77">
        <v>1.0</v>
      </c>
      <c r="B417" s="78" t="s">
        <v>2388</v>
      </c>
      <c r="C417" s="78" t="s">
        <v>2389</v>
      </c>
      <c r="D417" s="78" t="s">
        <v>808</v>
      </c>
      <c r="E417" s="78"/>
      <c r="F417" s="77" t="s">
        <v>8</v>
      </c>
      <c r="G417" s="78"/>
      <c r="H417" s="78"/>
      <c r="I417" s="78"/>
    </row>
    <row r="418">
      <c r="A418" s="77">
        <v>2.0</v>
      </c>
      <c r="B418" s="78" t="s">
        <v>2390</v>
      </c>
      <c r="C418" s="78" t="s">
        <v>2391</v>
      </c>
      <c r="D418" s="78" t="s">
        <v>2392</v>
      </c>
      <c r="E418" s="78"/>
      <c r="F418" s="77" t="s">
        <v>8</v>
      </c>
      <c r="G418" s="78"/>
      <c r="H418" s="78"/>
      <c r="I418" s="78"/>
    </row>
    <row r="419">
      <c r="A419" s="77">
        <v>3.0</v>
      </c>
      <c r="B419" s="78" t="s">
        <v>2393</v>
      </c>
      <c r="C419" s="78" t="s">
        <v>2394</v>
      </c>
      <c r="D419" s="78" t="s">
        <v>2395</v>
      </c>
      <c r="E419" s="78"/>
      <c r="F419" s="77" t="s">
        <v>8</v>
      </c>
      <c r="G419" s="78"/>
      <c r="H419" s="78"/>
      <c r="I419" s="78"/>
    </row>
    <row r="420" ht="15.75" customHeight="1">
      <c r="A420" s="77">
        <v>4.0</v>
      </c>
      <c r="B420" s="78" t="s">
        <v>2396</v>
      </c>
      <c r="C420" s="78" t="s">
        <v>2397</v>
      </c>
      <c r="D420" s="78" t="s">
        <v>2398</v>
      </c>
      <c r="E420" s="78"/>
      <c r="F420" s="77" t="s">
        <v>8</v>
      </c>
      <c r="G420" s="78"/>
      <c r="H420" s="78"/>
      <c r="I420" s="78"/>
    </row>
    <row r="421" ht="15.75" customHeight="1">
      <c r="A421" s="77">
        <v>5.0</v>
      </c>
      <c r="B421" s="78" t="s">
        <v>2399</v>
      </c>
      <c r="C421" s="78" t="s">
        <v>1264</v>
      </c>
      <c r="D421" s="78" t="s">
        <v>2400</v>
      </c>
      <c r="E421" s="78"/>
      <c r="F421" s="77" t="s">
        <v>8</v>
      </c>
      <c r="G421" s="78"/>
      <c r="H421" s="78"/>
      <c r="I421" s="78"/>
    </row>
    <row r="422" ht="15.75" customHeight="1">
      <c r="A422" s="77">
        <v>6.0</v>
      </c>
      <c r="B422" s="78" t="s">
        <v>2401</v>
      </c>
      <c r="C422" s="78" t="s">
        <v>2402</v>
      </c>
      <c r="D422" s="78" t="s">
        <v>2403</v>
      </c>
      <c r="E422" s="78"/>
      <c r="F422" s="77" t="s">
        <v>8</v>
      </c>
      <c r="G422" s="78"/>
      <c r="H422" s="78"/>
      <c r="I422" s="78"/>
    </row>
    <row r="423" ht="15.75" customHeight="1">
      <c r="A423" s="66" t="s">
        <v>56</v>
      </c>
      <c r="B423" s="91"/>
      <c r="C423" s="91"/>
      <c r="D423" s="91"/>
      <c r="E423" s="91"/>
      <c r="F423" s="91"/>
      <c r="G423" s="91"/>
      <c r="H423" s="67"/>
      <c r="I423" s="101"/>
    </row>
    <row r="424">
      <c r="A424" s="77">
        <v>1.0</v>
      </c>
      <c r="B424" s="78" t="s">
        <v>2404</v>
      </c>
      <c r="C424" s="78" t="s">
        <v>2405</v>
      </c>
      <c r="D424" s="78" t="s">
        <v>2406</v>
      </c>
      <c r="E424" s="78"/>
      <c r="F424" s="95" t="s">
        <v>8</v>
      </c>
      <c r="G424" s="78"/>
      <c r="H424" s="78"/>
      <c r="I424" s="78"/>
    </row>
    <row r="425">
      <c r="A425" s="77">
        <v>2.0</v>
      </c>
      <c r="B425" s="78" t="s">
        <v>2407</v>
      </c>
      <c r="C425" s="78" t="s">
        <v>2408</v>
      </c>
      <c r="D425" s="78" t="s">
        <v>2409</v>
      </c>
      <c r="E425" s="78"/>
      <c r="F425" s="95" t="s">
        <v>8</v>
      </c>
      <c r="G425" s="78"/>
      <c r="H425" s="78"/>
      <c r="I425" s="78"/>
    </row>
    <row r="426">
      <c r="A426" s="77">
        <v>3.0</v>
      </c>
      <c r="B426" s="78" t="s">
        <v>2410</v>
      </c>
      <c r="C426" s="78" t="s">
        <v>2411</v>
      </c>
      <c r="D426" s="78" t="s">
        <v>2412</v>
      </c>
      <c r="E426" s="78"/>
      <c r="F426" s="95" t="s">
        <v>8</v>
      </c>
      <c r="G426" s="78"/>
      <c r="H426" s="78"/>
      <c r="I426" s="78"/>
    </row>
    <row r="427">
      <c r="A427" s="77">
        <v>4.0</v>
      </c>
      <c r="B427" s="78" t="s">
        <v>2413</v>
      </c>
      <c r="C427" s="78" t="s">
        <v>2414</v>
      </c>
      <c r="D427" s="78" t="s">
        <v>2415</v>
      </c>
      <c r="E427" s="78"/>
      <c r="F427" s="95" t="s">
        <v>8</v>
      </c>
      <c r="G427" s="78"/>
      <c r="H427" s="78"/>
      <c r="I427" s="78"/>
    </row>
    <row r="428">
      <c r="A428" s="77">
        <v>5.0</v>
      </c>
      <c r="B428" s="78" t="s">
        <v>2153</v>
      </c>
      <c r="C428" s="78" t="s">
        <v>2416</v>
      </c>
      <c r="D428" s="78" t="s">
        <v>2417</v>
      </c>
      <c r="E428" s="78"/>
      <c r="F428" s="95" t="s">
        <v>8</v>
      </c>
      <c r="G428" s="78"/>
      <c r="H428" s="78"/>
      <c r="I428" s="78"/>
    </row>
    <row r="429" ht="15.75" customHeight="1">
      <c r="A429" s="77">
        <v>6.0</v>
      </c>
      <c r="B429" s="78" t="s">
        <v>2418</v>
      </c>
      <c r="C429" s="78" t="s">
        <v>1264</v>
      </c>
      <c r="D429" s="78" t="s">
        <v>2419</v>
      </c>
      <c r="E429" s="78"/>
      <c r="F429" s="95" t="s">
        <v>8</v>
      </c>
      <c r="G429" s="78"/>
      <c r="H429" s="78"/>
      <c r="I429" s="78"/>
    </row>
    <row r="430">
      <c r="A430" s="70">
        <v>7.0</v>
      </c>
      <c r="B430" s="71" t="s">
        <v>1726</v>
      </c>
      <c r="C430" s="71" t="s">
        <v>1727</v>
      </c>
      <c r="D430" s="71" t="s">
        <v>1728</v>
      </c>
      <c r="E430" s="71"/>
      <c r="F430" s="75" t="s">
        <v>8</v>
      </c>
      <c r="G430" s="74"/>
      <c r="H430" s="74"/>
      <c r="I430" s="74"/>
    </row>
    <row r="431" ht="15.75" customHeight="1">
      <c r="A431" s="66" t="s">
        <v>59</v>
      </c>
      <c r="B431" s="91"/>
      <c r="C431" s="91"/>
      <c r="D431" s="91"/>
      <c r="E431" s="91"/>
      <c r="F431" s="91"/>
      <c r="G431" s="91"/>
      <c r="H431" s="67"/>
      <c r="I431" s="101"/>
    </row>
    <row r="432">
      <c r="A432" s="77">
        <v>1.0</v>
      </c>
      <c r="B432" s="78" t="s">
        <v>2420</v>
      </c>
      <c r="C432" s="78" t="s">
        <v>2421</v>
      </c>
      <c r="D432" s="78" t="s">
        <v>2422</v>
      </c>
      <c r="E432" s="74"/>
      <c r="F432" s="95" t="s">
        <v>8</v>
      </c>
      <c r="G432" s="74"/>
      <c r="H432" s="74"/>
      <c r="I432" s="74"/>
    </row>
    <row r="433">
      <c r="A433" s="92">
        <v>2.0</v>
      </c>
      <c r="B433" s="71" t="s">
        <v>2423</v>
      </c>
      <c r="C433" s="71" t="s">
        <v>2424</v>
      </c>
      <c r="D433" s="71" t="s">
        <v>2425</v>
      </c>
      <c r="E433" s="76" t="s">
        <v>2426</v>
      </c>
      <c r="F433" s="95" t="s">
        <v>8</v>
      </c>
      <c r="G433" s="76" t="s">
        <v>1801</v>
      </c>
      <c r="H433" s="74"/>
      <c r="I433" s="74"/>
    </row>
    <row r="434">
      <c r="A434" s="77">
        <v>3.0</v>
      </c>
      <c r="B434" s="71" t="s">
        <v>2427</v>
      </c>
      <c r="C434" s="71" t="s">
        <v>2428</v>
      </c>
      <c r="D434" s="71" t="s">
        <v>2429</v>
      </c>
      <c r="E434" s="93" t="s">
        <v>2430</v>
      </c>
      <c r="F434" s="95" t="s">
        <v>8</v>
      </c>
      <c r="G434" s="76" t="s">
        <v>2431</v>
      </c>
      <c r="H434" s="74"/>
      <c r="I434" s="74"/>
    </row>
    <row r="435">
      <c r="A435" s="77">
        <v>4.0</v>
      </c>
      <c r="B435" s="71" t="s">
        <v>2432</v>
      </c>
      <c r="C435" s="71" t="s">
        <v>2433</v>
      </c>
      <c r="D435" s="71" t="s">
        <v>2434</v>
      </c>
      <c r="E435" s="93" t="s">
        <v>2435</v>
      </c>
      <c r="F435" s="95" t="s">
        <v>8</v>
      </c>
      <c r="G435" s="76" t="s">
        <v>2436</v>
      </c>
      <c r="H435" s="74"/>
      <c r="I435" s="74"/>
    </row>
    <row r="436">
      <c r="A436" s="92">
        <v>5.0</v>
      </c>
      <c r="B436" s="71" t="s">
        <v>2437</v>
      </c>
      <c r="C436" s="71" t="s">
        <v>2438</v>
      </c>
      <c r="D436" s="71" t="s">
        <v>2439</v>
      </c>
      <c r="E436" s="93" t="s">
        <v>2440</v>
      </c>
      <c r="F436" s="95" t="s">
        <v>8</v>
      </c>
      <c r="G436" s="76" t="s">
        <v>2441</v>
      </c>
      <c r="H436" s="74"/>
      <c r="I436" s="74"/>
    </row>
    <row r="437">
      <c r="A437" s="77">
        <v>6.0</v>
      </c>
      <c r="B437" s="71" t="s">
        <v>2442</v>
      </c>
      <c r="C437" s="71" t="s">
        <v>2443</v>
      </c>
      <c r="D437" s="71" t="s">
        <v>2444</v>
      </c>
      <c r="E437" s="71"/>
      <c r="F437" s="95" t="s">
        <v>8</v>
      </c>
      <c r="G437" s="74"/>
      <c r="H437" s="74"/>
      <c r="I437" s="74"/>
    </row>
    <row r="438">
      <c r="A438" s="77">
        <v>7.0</v>
      </c>
      <c r="B438" s="71" t="s">
        <v>2445</v>
      </c>
      <c r="C438" s="71" t="s">
        <v>2446</v>
      </c>
      <c r="D438" s="71" t="s">
        <v>2447</v>
      </c>
      <c r="E438" s="71"/>
      <c r="F438" s="95" t="s">
        <v>8</v>
      </c>
      <c r="G438" s="74"/>
      <c r="H438" s="74"/>
      <c r="I438" s="74"/>
    </row>
    <row r="439">
      <c r="A439" s="92">
        <v>8.0</v>
      </c>
      <c r="B439" s="71" t="s">
        <v>2448</v>
      </c>
      <c r="C439" s="71" t="s">
        <v>2449</v>
      </c>
      <c r="D439" s="71" t="s">
        <v>2450</v>
      </c>
      <c r="E439" s="71"/>
      <c r="F439" s="95" t="s">
        <v>8</v>
      </c>
      <c r="G439" s="74"/>
      <c r="H439" s="74"/>
      <c r="I439" s="74"/>
    </row>
    <row r="440">
      <c r="A440" s="77">
        <v>9.0</v>
      </c>
      <c r="B440" s="71" t="s">
        <v>2451</v>
      </c>
      <c r="C440" s="71" t="s">
        <v>2452</v>
      </c>
      <c r="D440" s="71" t="s">
        <v>2453</v>
      </c>
      <c r="E440" s="71"/>
      <c r="F440" s="95" t="s">
        <v>8</v>
      </c>
      <c r="G440" s="74"/>
      <c r="H440" s="74"/>
      <c r="I440" s="74"/>
    </row>
    <row r="441">
      <c r="A441" s="77">
        <v>10.0</v>
      </c>
      <c r="B441" s="71" t="s">
        <v>2454</v>
      </c>
      <c r="C441" s="71" t="s">
        <v>2455</v>
      </c>
      <c r="D441" s="71" t="s">
        <v>2456</v>
      </c>
      <c r="E441" s="71"/>
      <c r="F441" s="77" t="s">
        <v>7</v>
      </c>
      <c r="G441" s="74"/>
      <c r="H441" s="74"/>
      <c r="I441" s="74"/>
    </row>
    <row r="442">
      <c r="A442" s="92">
        <v>11.0</v>
      </c>
      <c r="B442" s="71" t="s">
        <v>2457</v>
      </c>
      <c r="C442" s="71" t="s">
        <v>2458</v>
      </c>
      <c r="D442" s="71" t="s">
        <v>2459</v>
      </c>
      <c r="E442" s="71"/>
      <c r="F442" s="95" t="s">
        <v>8</v>
      </c>
      <c r="G442" s="74"/>
      <c r="H442" s="74"/>
      <c r="I442" s="74"/>
    </row>
    <row r="443">
      <c r="A443" s="77">
        <v>12.0</v>
      </c>
      <c r="B443" s="71" t="s">
        <v>2460</v>
      </c>
      <c r="C443" s="71" t="s">
        <v>2461</v>
      </c>
      <c r="D443" s="71" t="s">
        <v>2462</v>
      </c>
      <c r="E443" s="71"/>
      <c r="F443" s="95" t="s">
        <v>8</v>
      </c>
      <c r="G443" s="74"/>
      <c r="H443" s="74"/>
      <c r="I443" s="74"/>
    </row>
    <row r="444">
      <c r="A444" s="77">
        <v>13.0</v>
      </c>
      <c r="B444" s="71" t="s">
        <v>2463</v>
      </c>
      <c r="C444" s="71" t="s">
        <v>2464</v>
      </c>
      <c r="D444" s="71" t="s">
        <v>2465</v>
      </c>
      <c r="E444" s="71"/>
      <c r="F444" s="95" t="s">
        <v>8</v>
      </c>
      <c r="G444" s="74"/>
      <c r="H444" s="74"/>
      <c r="I444" s="74"/>
    </row>
    <row r="445">
      <c r="A445" s="92">
        <v>14.0</v>
      </c>
      <c r="B445" s="71" t="s">
        <v>2466</v>
      </c>
      <c r="C445" s="71" t="s">
        <v>2467</v>
      </c>
      <c r="D445" s="71" t="s">
        <v>2468</v>
      </c>
      <c r="E445" s="71"/>
      <c r="F445" s="95" t="s">
        <v>8</v>
      </c>
      <c r="G445" s="74"/>
      <c r="H445" s="74"/>
      <c r="I445" s="74"/>
    </row>
    <row r="446">
      <c r="A446" s="77">
        <v>15.0</v>
      </c>
      <c r="B446" s="71" t="s">
        <v>2469</v>
      </c>
      <c r="C446" s="71" t="s">
        <v>2470</v>
      </c>
      <c r="D446" s="71" t="s">
        <v>2471</v>
      </c>
      <c r="E446" s="71"/>
      <c r="F446" s="77" t="s">
        <v>7</v>
      </c>
      <c r="G446" s="74"/>
      <c r="H446" s="74"/>
      <c r="I446" s="74"/>
    </row>
    <row r="447">
      <c r="A447" s="77">
        <v>16.0</v>
      </c>
      <c r="B447" s="71" t="s">
        <v>2472</v>
      </c>
      <c r="C447" s="71" t="s">
        <v>2473</v>
      </c>
      <c r="D447" s="71" t="s">
        <v>2474</v>
      </c>
      <c r="E447" s="71"/>
      <c r="F447" s="77" t="s">
        <v>7</v>
      </c>
      <c r="G447" s="74"/>
      <c r="H447" s="74"/>
      <c r="I447" s="74"/>
    </row>
  </sheetData>
  <mergeCells count="29">
    <mergeCell ref="A4:H4"/>
    <mergeCell ref="A29:H29"/>
    <mergeCell ref="A52:H52"/>
    <mergeCell ref="A79:H79"/>
    <mergeCell ref="A93:H93"/>
    <mergeCell ref="A106:H106"/>
    <mergeCell ref="A126:D126"/>
    <mergeCell ref="A137:D137"/>
    <mergeCell ref="A149:D149"/>
    <mergeCell ref="A171:D171"/>
    <mergeCell ref="A184:D184"/>
    <mergeCell ref="A207:D207"/>
    <mergeCell ref="A247:D247"/>
    <mergeCell ref="A256:D256"/>
    <mergeCell ref="A344:D344"/>
    <mergeCell ref="A356:H356"/>
    <mergeCell ref="A375:H375"/>
    <mergeCell ref="A382:H382"/>
    <mergeCell ref="A390:H390"/>
    <mergeCell ref="A416:H416"/>
    <mergeCell ref="A423:H423"/>
    <mergeCell ref="A431:H431"/>
    <mergeCell ref="A275:D275"/>
    <mergeCell ref="A292:D292"/>
    <mergeCell ref="A308:D308"/>
    <mergeCell ref="A315:D315"/>
    <mergeCell ref="A322:D322"/>
    <mergeCell ref="A329:D329"/>
    <mergeCell ref="A337:D337"/>
  </mergeCells>
  <conditionalFormatting sqref="F5:F28 F30:F51 F53:F78 F80:F92 F94:F105 F107:F355 F357:F374 F376:F381 E383:F389 F391:F415 E411:E415 E417:F422 E424:F430 F432:F447">
    <cfRule type="containsText" dxfId="3" priority="1" operator="containsText" text="NOT YET STARTED">
      <formula>NOT(ISERROR(SEARCH(("NOT YET STARTED"),(F5))))</formula>
    </cfRule>
  </conditionalFormatting>
  <conditionalFormatting sqref="F5:F28 F30:F51 F53:F78 F80:F92 F94:F105 F107:F355 F357:F374 F376:F381 E383:F389 F391:F415 E411:E415 E417:F422 E424:F430 F432:F447">
    <cfRule type="containsText" dxfId="2" priority="2" operator="containsText" text="PASSED">
      <formula>NOT(ISERROR(SEARCH(("PASSED"),(F5))))</formula>
    </cfRule>
  </conditionalFormatting>
  <conditionalFormatting sqref="F5:F28 F30:F51 F53:F78 F80:F92 F94:F105 F107:F355 F357:F374 F376:F381 E383:F389 F391:F415 E411:E415 E417:F422 E424:F430 F432:F447">
    <cfRule type="containsText" dxfId="1" priority="3" operator="containsText" text="FAILED">
      <formula>NOT(ISERROR(SEARCH(("FAILED"),(F5))))</formula>
    </cfRule>
  </conditionalFormatting>
  <conditionalFormatting sqref="F5:F28 F30:F51 F53:F78 F80:F92 F94:F105 F107:F355 F357:F374 F376:F381 E383:F389 F391:F415 E411:E415 E417:F422 E424:F430 F432:F447">
    <cfRule type="containsText" dxfId="0" priority="4" operator="containsText" text="RE-TEST">
      <formula>NOT(ISERROR(SEARCH(("RE-TEST"),(F5))))</formula>
    </cfRule>
  </conditionalFormatting>
  <dataValidations>
    <dataValidation type="list" allowBlank="1" showErrorMessage="1" sqref="F5:F28 F30:F51 F53:F78 F80:F92 F94:F105 F107:F125 F127:F136 F138:F148 F150:F170 F172:F183 F185:F206 F208:F246 F248:F255 F257:F274 F276:F291 F293:F307 F309:F314 F316:F321 F323:F328 F330:F336 F338:F343 F345:F355 F357:F374 F376:F381 F383:F389 F391:F415 F417:F422 F424:F430 F432:F447">
      <formula1>"Not Started,Passed,Failed,Re-Test,Blocked/Skip"</formula1>
    </dataValidation>
  </dataValidations>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88"/>
    <col customWidth="1" min="2" max="2" width="16.75"/>
    <col customWidth="1" min="3" max="3" width="21.75"/>
    <col customWidth="1" hidden="1" min="4" max="4" width="12.75"/>
    <col customWidth="1" min="5" max="5" width="29.13"/>
    <col customWidth="1" min="6" max="6" width="30.38"/>
    <col customWidth="1" min="7" max="7" width="16.63"/>
    <col customWidth="1" min="8" max="8" width="17.63"/>
    <col customWidth="1" min="9" max="9" width="26.25"/>
  </cols>
  <sheetData>
    <row r="1" ht="14.25" customHeight="1">
      <c r="A1" s="105"/>
      <c r="B1" s="106"/>
      <c r="C1" s="106"/>
      <c r="D1" s="106"/>
      <c r="E1" s="106"/>
      <c r="F1" s="106"/>
      <c r="G1" s="106"/>
      <c r="H1" s="107"/>
      <c r="I1" s="107"/>
    </row>
    <row r="2" ht="39.0" customHeight="1">
      <c r="A2" s="108" t="s">
        <v>212</v>
      </c>
      <c r="B2" s="108" t="s">
        <v>213</v>
      </c>
      <c r="C2" s="108" t="s">
        <v>214</v>
      </c>
      <c r="D2" s="108" t="s">
        <v>2475</v>
      </c>
      <c r="E2" s="108" t="s">
        <v>215</v>
      </c>
      <c r="F2" s="108" t="s">
        <v>216</v>
      </c>
      <c r="G2" s="108" t="s">
        <v>217</v>
      </c>
      <c r="H2" s="108" t="s">
        <v>218</v>
      </c>
      <c r="I2" s="108" t="s">
        <v>219</v>
      </c>
    </row>
    <row r="3" ht="15.75" customHeight="1">
      <c r="A3" s="109" t="s">
        <v>2476</v>
      </c>
      <c r="B3" s="109"/>
      <c r="C3" s="110"/>
      <c r="D3" s="111"/>
      <c r="E3" s="110"/>
      <c r="F3" s="110"/>
      <c r="G3" s="111"/>
      <c r="H3" s="112"/>
      <c r="I3" s="112"/>
    </row>
    <row r="4">
      <c r="A4" s="113" t="s">
        <v>1053</v>
      </c>
      <c r="B4" s="67"/>
      <c r="C4" s="114"/>
      <c r="D4" s="115"/>
      <c r="E4" s="114"/>
      <c r="F4" s="114"/>
      <c r="G4" s="116"/>
      <c r="H4" s="114"/>
      <c r="I4" s="114"/>
    </row>
    <row r="5">
      <c r="A5" s="117"/>
      <c r="B5" s="118" t="s">
        <v>1054</v>
      </c>
      <c r="C5" s="119" t="s">
        <v>2477</v>
      </c>
      <c r="D5" s="120"/>
      <c r="E5" s="118" t="s">
        <v>1056</v>
      </c>
      <c r="F5" s="121"/>
      <c r="G5" s="122" t="s">
        <v>1037</v>
      </c>
      <c r="H5" s="121"/>
      <c r="I5" s="121"/>
    </row>
    <row r="6" ht="15.75" customHeight="1">
      <c r="A6" s="123" t="s">
        <v>2478</v>
      </c>
      <c r="B6" s="67"/>
      <c r="C6" s="124"/>
      <c r="D6" s="125"/>
      <c r="E6" s="124"/>
      <c r="F6" s="124"/>
      <c r="G6" s="125"/>
      <c r="H6" s="126"/>
      <c r="I6" s="126"/>
    </row>
    <row r="7">
      <c r="A7" s="127"/>
      <c r="B7" s="128" t="s">
        <v>2479</v>
      </c>
      <c r="C7" s="129" t="s">
        <v>2480</v>
      </c>
      <c r="D7" s="130"/>
      <c r="E7" s="129" t="s">
        <v>2481</v>
      </c>
      <c r="F7" s="128"/>
      <c r="G7" s="122" t="s">
        <v>1037</v>
      </c>
      <c r="H7" s="131"/>
      <c r="I7" s="128"/>
    </row>
    <row r="8">
      <c r="A8" s="132"/>
      <c r="B8" s="128" t="s">
        <v>2482</v>
      </c>
      <c r="C8" s="129" t="s">
        <v>2483</v>
      </c>
      <c r="D8" s="133"/>
      <c r="E8" s="129" t="s">
        <v>2484</v>
      </c>
      <c r="F8" s="134"/>
      <c r="G8" s="122" t="s">
        <v>1037</v>
      </c>
      <c r="H8" s="135"/>
      <c r="I8" s="134"/>
    </row>
    <row r="9">
      <c r="A9" s="132"/>
      <c r="B9" s="134" t="s">
        <v>2485</v>
      </c>
      <c r="C9" s="136" t="s">
        <v>2486</v>
      </c>
      <c r="D9" s="133"/>
      <c r="E9" s="136" t="s">
        <v>2487</v>
      </c>
      <c r="F9" s="134"/>
      <c r="G9" s="122" t="s">
        <v>1037</v>
      </c>
      <c r="H9" s="135"/>
      <c r="I9" s="134"/>
    </row>
    <row r="10">
      <c r="A10" s="132"/>
      <c r="B10" s="134" t="s">
        <v>2488</v>
      </c>
      <c r="C10" s="136" t="s">
        <v>2489</v>
      </c>
      <c r="D10" s="133"/>
      <c r="E10" s="136" t="s">
        <v>2490</v>
      </c>
      <c r="F10" s="134"/>
      <c r="G10" s="122" t="s">
        <v>1037</v>
      </c>
      <c r="H10" s="135"/>
      <c r="I10" s="134"/>
    </row>
    <row r="11">
      <c r="A11" s="132"/>
      <c r="B11" s="134" t="s">
        <v>2491</v>
      </c>
      <c r="C11" s="136" t="s">
        <v>2492</v>
      </c>
      <c r="D11" s="133"/>
      <c r="E11" s="136" t="s">
        <v>2493</v>
      </c>
      <c r="F11" s="134"/>
      <c r="G11" s="122" t="s">
        <v>1037</v>
      </c>
      <c r="H11" s="135"/>
      <c r="I11" s="134"/>
    </row>
    <row r="12">
      <c r="A12" s="132"/>
      <c r="B12" s="134" t="s">
        <v>2494</v>
      </c>
      <c r="C12" s="136" t="s">
        <v>2495</v>
      </c>
      <c r="D12" s="133"/>
      <c r="E12" s="136" t="s">
        <v>2496</v>
      </c>
      <c r="F12" s="134"/>
      <c r="G12" s="122" t="s">
        <v>1037</v>
      </c>
      <c r="H12" s="135"/>
      <c r="I12" s="134"/>
    </row>
    <row r="13">
      <c r="A13" s="132"/>
      <c r="B13" s="134" t="s">
        <v>2497</v>
      </c>
      <c r="C13" s="136" t="s">
        <v>2498</v>
      </c>
      <c r="D13" s="133"/>
      <c r="E13" s="136" t="s">
        <v>2499</v>
      </c>
      <c r="F13" s="134"/>
      <c r="G13" s="122" t="s">
        <v>1037</v>
      </c>
      <c r="H13" s="135"/>
      <c r="I13" s="134"/>
    </row>
    <row r="14" ht="15.75" customHeight="1">
      <c r="A14" s="123" t="s">
        <v>2500</v>
      </c>
      <c r="B14" s="67"/>
      <c r="C14" s="124"/>
      <c r="D14" s="125"/>
      <c r="E14" s="124"/>
      <c r="F14" s="124"/>
      <c r="G14" s="125"/>
      <c r="H14" s="126"/>
      <c r="I14" s="126"/>
    </row>
    <row r="15">
      <c r="A15" s="127"/>
      <c r="B15" s="128" t="s">
        <v>2479</v>
      </c>
      <c r="C15" s="129" t="s">
        <v>2501</v>
      </c>
      <c r="D15" s="130"/>
      <c r="E15" s="129" t="s">
        <v>2481</v>
      </c>
      <c r="F15" s="128"/>
      <c r="G15" s="122" t="s">
        <v>1037</v>
      </c>
      <c r="H15" s="131"/>
      <c r="I15" s="128"/>
    </row>
    <row r="16">
      <c r="A16" s="132"/>
      <c r="B16" s="128" t="s">
        <v>2482</v>
      </c>
      <c r="C16" s="129" t="s">
        <v>2502</v>
      </c>
      <c r="D16" s="133"/>
      <c r="E16" s="129" t="s">
        <v>2484</v>
      </c>
      <c r="F16" s="134"/>
      <c r="G16" s="122" t="s">
        <v>1037</v>
      </c>
      <c r="H16" s="135"/>
      <c r="I16" s="134"/>
    </row>
    <row r="17">
      <c r="A17" s="132"/>
      <c r="B17" s="134" t="s">
        <v>2485</v>
      </c>
      <c r="C17" s="136" t="s">
        <v>2503</v>
      </c>
      <c r="D17" s="133"/>
      <c r="E17" s="136" t="s">
        <v>2487</v>
      </c>
      <c r="F17" s="134"/>
      <c r="G17" s="122" t="s">
        <v>1037</v>
      </c>
      <c r="H17" s="135"/>
      <c r="I17" s="134"/>
    </row>
    <row r="18">
      <c r="A18" s="132"/>
      <c r="B18" s="134" t="s">
        <v>2504</v>
      </c>
      <c r="C18" s="136" t="s">
        <v>2505</v>
      </c>
      <c r="D18" s="133"/>
      <c r="E18" s="136" t="s">
        <v>2506</v>
      </c>
      <c r="F18" s="134"/>
      <c r="G18" s="122" t="s">
        <v>1037</v>
      </c>
      <c r="H18" s="135"/>
      <c r="I18" s="134"/>
    </row>
    <row r="19">
      <c r="A19" s="132"/>
      <c r="B19" s="134" t="s">
        <v>2491</v>
      </c>
      <c r="C19" s="136" t="s">
        <v>2507</v>
      </c>
      <c r="D19" s="133"/>
      <c r="E19" s="136" t="s">
        <v>2493</v>
      </c>
      <c r="F19" s="134"/>
      <c r="G19" s="122" t="s">
        <v>1037</v>
      </c>
      <c r="H19" s="135"/>
      <c r="I19" s="134"/>
    </row>
    <row r="20">
      <c r="A20" s="132"/>
      <c r="B20" s="134" t="s">
        <v>2494</v>
      </c>
      <c r="C20" s="136" t="s">
        <v>2508</v>
      </c>
      <c r="D20" s="133"/>
      <c r="E20" s="136" t="s">
        <v>2496</v>
      </c>
      <c r="F20" s="134"/>
      <c r="G20" s="122" t="s">
        <v>1037</v>
      </c>
      <c r="H20" s="135"/>
      <c r="I20" s="134"/>
    </row>
    <row r="21">
      <c r="A21" s="132"/>
      <c r="B21" s="134" t="s">
        <v>2497</v>
      </c>
      <c r="C21" s="136" t="s">
        <v>2509</v>
      </c>
      <c r="D21" s="133"/>
      <c r="E21" s="136" t="s">
        <v>2499</v>
      </c>
      <c r="F21" s="134"/>
      <c r="G21" s="122" t="s">
        <v>1037</v>
      </c>
      <c r="H21" s="135"/>
      <c r="I21" s="134"/>
    </row>
    <row r="22" ht="72.75" customHeight="1">
      <c r="A22" s="137"/>
      <c r="B22" s="134" t="s">
        <v>2510</v>
      </c>
      <c r="C22" s="134" t="s">
        <v>2511</v>
      </c>
      <c r="D22" s="133"/>
      <c r="E22" s="134" t="s">
        <v>2512</v>
      </c>
      <c r="F22" s="134"/>
      <c r="G22" s="122" t="s">
        <v>1037</v>
      </c>
      <c r="H22" s="134"/>
      <c r="I22" s="134"/>
    </row>
    <row r="23" ht="72.75" customHeight="1">
      <c r="A23" s="137"/>
      <c r="B23" s="134" t="s">
        <v>2513</v>
      </c>
      <c r="C23" s="134" t="s">
        <v>2511</v>
      </c>
      <c r="D23" s="133"/>
      <c r="E23" s="134" t="s">
        <v>2514</v>
      </c>
      <c r="F23" s="134"/>
      <c r="G23" s="122" t="s">
        <v>1037</v>
      </c>
      <c r="H23" s="134"/>
      <c r="I23" s="134"/>
    </row>
    <row r="24" ht="15.75" customHeight="1">
      <c r="A24" s="123" t="s">
        <v>2515</v>
      </c>
      <c r="B24" s="67"/>
      <c r="C24" s="124"/>
      <c r="D24" s="125"/>
      <c r="E24" s="124"/>
      <c r="F24" s="124"/>
      <c r="G24" s="125"/>
      <c r="H24" s="126"/>
      <c r="I24" s="126"/>
    </row>
    <row r="25">
      <c r="A25" s="127"/>
      <c r="B25" s="128" t="s">
        <v>2479</v>
      </c>
      <c r="C25" s="129" t="s">
        <v>2516</v>
      </c>
      <c r="D25" s="130"/>
      <c r="E25" s="129" t="s">
        <v>2481</v>
      </c>
      <c r="F25" s="128"/>
      <c r="G25" s="122" t="s">
        <v>1037</v>
      </c>
      <c r="H25" s="131"/>
      <c r="I25" s="128"/>
    </row>
    <row r="26">
      <c r="A26" s="132"/>
      <c r="B26" s="128" t="s">
        <v>2482</v>
      </c>
      <c r="C26" s="129" t="s">
        <v>2517</v>
      </c>
      <c r="D26" s="133"/>
      <c r="E26" s="129" t="s">
        <v>2484</v>
      </c>
      <c r="F26" s="134"/>
      <c r="G26" s="122" t="s">
        <v>1037</v>
      </c>
      <c r="H26" s="135"/>
      <c r="I26" s="134"/>
    </row>
    <row r="27">
      <c r="A27" s="132"/>
      <c r="B27" s="134" t="s">
        <v>2485</v>
      </c>
      <c r="C27" s="136" t="s">
        <v>2518</v>
      </c>
      <c r="D27" s="133"/>
      <c r="E27" s="136" t="s">
        <v>2487</v>
      </c>
      <c r="F27" s="134"/>
      <c r="G27" s="122" t="s">
        <v>1037</v>
      </c>
      <c r="H27" s="135"/>
      <c r="I27" s="134"/>
    </row>
    <row r="28">
      <c r="A28" s="132"/>
      <c r="B28" s="134" t="s">
        <v>2504</v>
      </c>
      <c r="C28" s="136" t="s">
        <v>2519</v>
      </c>
      <c r="D28" s="133"/>
      <c r="E28" s="136" t="s">
        <v>2506</v>
      </c>
      <c r="F28" s="134"/>
      <c r="G28" s="122" t="s">
        <v>1037</v>
      </c>
      <c r="H28" s="135"/>
      <c r="I28" s="134"/>
    </row>
    <row r="29">
      <c r="A29" s="132"/>
      <c r="B29" s="134" t="s">
        <v>2488</v>
      </c>
      <c r="C29" s="136" t="s">
        <v>2520</v>
      </c>
      <c r="D29" s="133"/>
      <c r="E29" s="136" t="s">
        <v>2490</v>
      </c>
      <c r="F29" s="134"/>
      <c r="G29" s="122" t="s">
        <v>1037</v>
      </c>
      <c r="H29" s="135"/>
      <c r="I29" s="134"/>
    </row>
    <row r="30">
      <c r="A30" s="132"/>
      <c r="B30" s="134" t="s">
        <v>2494</v>
      </c>
      <c r="C30" s="136" t="s">
        <v>2521</v>
      </c>
      <c r="D30" s="133"/>
      <c r="E30" s="136" t="s">
        <v>2496</v>
      </c>
      <c r="F30" s="134"/>
      <c r="G30" s="122" t="s">
        <v>1037</v>
      </c>
      <c r="H30" s="135"/>
      <c r="I30" s="134"/>
    </row>
    <row r="31">
      <c r="A31" s="132"/>
      <c r="B31" s="134" t="s">
        <v>2497</v>
      </c>
      <c r="C31" s="136" t="s">
        <v>2522</v>
      </c>
      <c r="D31" s="133"/>
      <c r="E31" s="136" t="s">
        <v>2499</v>
      </c>
      <c r="F31" s="134"/>
      <c r="G31" s="122" t="s">
        <v>1037</v>
      </c>
      <c r="H31" s="135"/>
      <c r="I31" s="134"/>
    </row>
    <row r="32" ht="72.75" customHeight="1">
      <c r="A32" s="137"/>
      <c r="B32" s="134" t="s">
        <v>2515</v>
      </c>
      <c r="C32" s="134" t="s">
        <v>2511</v>
      </c>
      <c r="D32" s="133"/>
      <c r="E32" s="134" t="s">
        <v>2512</v>
      </c>
      <c r="F32" s="134"/>
      <c r="G32" s="122" t="s">
        <v>1037</v>
      </c>
      <c r="H32" s="134"/>
      <c r="I32" s="134"/>
    </row>
    <row r="33" ht="72.75" customHeight="1">
      <c r="A33" s="137"/>
      <c r="B33" s="134" t="s">
        <v>2523</v>
      </c>
      <c r="C33" s="134" t="s">
        <v>2511</v>
      </c>
      <c r="D33" s="133"/>
      <c r="E33" s="134" t="s">
        <v>2514</v>
      </c>
      <c r="F33" s="134"/>
      <c r="G33" s="122" t="s">
        <v>1037</v>
      </c>
      <c r="H33" s="134"/>
      <c r="I33" s="134"/>
    </row>
    <row r="34" ht="15.75" customHeight="1">
      <c r="A34" s="123" t="s">
        <v>2524</v>
      </c>
      <c r="B34" s="67"/>
      <c r="C34" s="124"/>
      <c r="D34" s="125"/>
      <c r="E34" s="124"/>
      <c r="F34" s="124"/>
      <c r="G34" s="125"/>
      <c r="H34" s="126"/>
      <c r="I34" s="126"/>
    </row>
    <row r="35">
      <c r="A35" s="127"/>
      <c r="B35" s="128" t="s">
        <v>2479</v>
      </c>
      <c r="C35" s="129" t="s">
        <v>2525</v>
      </c>
      <c r="D35" s="130"/>
      <c r="E35" s="129" t="s">
        <v>2481</v>
      </c>
      <c r="F35" s="128"/>
      <c r="G35" s="122" t="s">
        <v>1037</v>
      </c>
      <c r="H35" s="131"/>
      <c r="I35" s="128"/>
    </row>
    <row r="36">
      <c r="A36" s="132"/>
      <c r="B36" s="128" t="s">
        <v>2482</v>
      </c>
      <c r="C36" s="129" t="s">
        <v>2526</v>
      </c>
      <c r="D36" s="133"/>
      <c r="E36" s="129" t="s">
        <v>2484</v>
      </c>
      <c r="F36" s="134"/>
      <c r="G36" s="122" t="s">
        <v>1037</v>
      </c>
      <c r="H36" s="135"/>
      <c r="I36" s="134"/>
    </row>
    <row r="37">
      <c r="A37" s="132"/>
      <c r="B37" s="134" t="s">
        <v>2485</v>
      </c>
      <c r="C37" s="136" t="s">
        <v>2527</v>
      </c>
      <c r="D37" s="133"/>
      <c r="E37" s="136" t="s">
        <v>2487</v>
      </c>
      <c r="F37" s="134"/>
      <c r="G37" s="122" t="s">
        <v>1037</v>
      </c>
      <c r="H37" s="135"/>
      <c r="I37" s="134"/>
    </row>
    <row r="38">
      <c r="A38" s="132"/>
      <c r="B38" s="134" t="s">
        <v>2504</v>
      </c>
      <c r="C38" s="136" t="s">
        <v>2528</v>
      </c>
      <c r="D38" s="133"/>
      <c r="E38" s="136" t="s">
        <v>2506</v>
      </c>
      <c r="F38" s="134"/>
      <c r="G38" s="122" t="s">
        <v>1037</v>
      </c>
      <c r="H38" s="135"/>
      <c r="I38" s="134"/>
    </row>
    <row r="39">
      <c r="A39" s="132"/>
      <c r="B39" s="134" t="s">
        <v>2488</v>
      </c>
      <c r="C39" s="136" t="s">
        <v>2529</v>
      </c>
      <c r="D39" s="133"/>
      <c r="E39" s="136" t="s">
        <v>2490</v>
      </c>
      <c r="F39" s="134"/>
      <c r="G39" s="122" t="s">
        <v>1037</v>
      </c>
      <c r="H39" s="135"/>
      <c r="I39" s="134"/>
    </row>
    <row r="40">
      <c r="A40" s="132"/>
      <c r="B40" s="134" t="s">
        <v>2491</v>
      </c>
      <c r="C40" s="136" t="s">
        <v>2530</v>
      </c>
      <c r="D40" s="133"/>
      <c r="E40" s="136" t="s">
        <v>2493</v>
      </c>
      <c r="F40" s="134"/>
      <c r="G40" s="122" t="s">
        <v>1037</v>
      </c>
      <c r="H40" s="135"/>
      <c r="I40" s="134"/>
    </row>
    <row r="41">
      <c r="A41" s="132"/>
      <c r="B41" s="134" t="s">
        <v>2497</v>
      </c>
      <c r="C41" s="136" t="s">
        <v>2531</v>
      </c>
      <c r="D41" s="133"/>
      <c r="E41" s="136" t="s">
        <v>2499</v>
      </c>
      <c r="F41" s="134"/>
      <c r="G41" s="122" t="s">
        <v>1037</v>
      </c>
      <c r="H41" s="135"/>
      <c r="I41" s="134"/>
    </row>
    <row r="42" ht="72.75" customHeight="1">
      <c r="A42" s="137"/>
      <c r="B42" s="134" t="s">
        <v>2532</v>
      </c>
      <c r="C42" s="134" t="s">
        <v>2533</v>
      </c>
      <c r="D42" s="133"/>
      <c r="E42" s="134" t="s">
        <v>2534</v>
      </c>
      <c r="F42" s="134"/>
      <c r="G42" s="122" t="s">
        <v>1037</v>
      </c>
      <c r="H42" s="134"/>
      <c r="I42" s="134"/>
    </row>
    <row r="43" ht="72.75" customHeight="1">
      <c r="A43" s="137"/>
      <c r="B43" s="134" t="s">
        <v>2535</v>
      </c>
      <c r="C43" s="134" t="s">
        <v>2536</v>
      </c>
      <c r="D43" s="133"/>
      <c r="E43" s="134" t="s">
        <v>2537</v>
      </c>
      <c r="F43" s="134"/>
      <c r="G43" s="122" t="s">
        <v>1037</v>
      </c>
      <c r="H43" s="134"/>
      <c r="I43" s="134"/>
    </row>
    <row r="44" ht="72.75" customHeight="1">
      <c r="A44" s="137"/>
      <c r="B44" s="134" t="s">
        <v>2538</v>
      </c>
      <c r="C44" s="134" t="s">
        <v>2539</v>
      </c>
      <c r="D44" s="133"/>
      <c r="E44" s="134" t="s">
        <v>2540</v>
      </c>
      <c r="F44" s="134"/>
      <c r="G44" s="122" t="s">
        <v>1037</v>
      </c>
      <c r="H44" s="134"/>
      <c r="I44" s="134"/>
    </row>
    <row r="45" ht="15.75" hidden="1" customHeight="1">
      <c r="A45" s="123" t="s">
        <v>2541</v>
      </c>
      <c r="B45" s="67"/>
      <c r="C45" s="124"/>
      <c r="D45" s="125"/>
      <c r="E45" s="124"/>
      <c r="F45" s="124"/>
      <c r="G45" s="125"/>
      <c r="H45" s="126"/>
      <c r="I45" s="126"/>
    </row>
    <row r="46" hidden="1">
      <c r="A46" s="127"/>
      <c r="B46" s="128" t="s">
        <v>2479</v>
      </c>
      <c r="C46" s="129" t="s">
        <v>2542</v>
      </c>
      <c r="D46" s="130"/>
      <c r="E46" s="129" t="s">
        <v>2481</v>
      </c>
      <c r="F46" s="128"/>
      <c r="G46" s="122" t="s">
        <v>1037</v>
      </c>
      <c r="H46" s="131"/>
      <c r="I46" s="128"/>
    </row>
    <row r="47" hidden="1">
      <c r="A47" s="132"/>
      <c r="B47" s="128" t="s">
        <v>2482</v>
      </c>
      <c r="C47" s="129" t="s">
        <v>2543</v>
      </c>
      <c r="D47" s="133"/>
      <c r="E47" s="129" t="s">
        <v>2484</v>
      </c>
      <c r="F47" s="134"/>
      <c r="G47" s="122" t="s">
        <v>1037</v>
      </c>
      <c r="H47" s="135"/>
      <c r="I47" s="134"/>
    </row>
    <row r="48" hidden="1">
      <c r="A48" s="132"/>
      <c r="B48" s="134" t="s">
        <v>2485</v>
      </c>
      <c r="C48" s="136" t="s">
        <v>2544</v>
      </c>
      <c r="D48" s="133"/>
      <c r="E48" s="136" t="s">
        <v>2487</v>
      </c>
      <c r="F48" s="134"/>
      <c r="G48" s="122" t="s">
        <v>1037</v>
      </c>
      <c r="H48" s="135"/>
      <c r="I48" s="134"/>
    </row>
    <row r="49" hidden="1">
      <c r="A49" s="132"/>
      <c r="B49" s="134" t="s">
        <v>2504</v>
      </c>
      <c r="C49" s="136" t="s">
        <v>2545</v>
      </c>
      <c r="D49" s="133"/>
      <c r="E49" s="136" t="s">
        <v>2506</v>
      </c>
      <c r="F49" s="134"/>
      <c r="G49" s="122" t="s">
        <v>1037</v>
      </c>
      <c r="H49" s="135"/>
      <c r="I49" s="134"/>
    </row>
    <row r="50" hidden="1">
      <c r="A50" s="132"/>
      <c r="B50" s="134" t="s">
        <v>2488</v>
      </c>
      <c r="C50" s="136" t="s">
        <v>2546</v>
      </c>
      <c r="D50" s="133"/>
      <c r="E50" s="136" t="s">
        <v>2490</v>
      </c>
      <c r="F50" s="134"/>
      <c r="G50" s="122" t="s">
        <v>1037</v>
      </c>
      <c r="H50" s="135"/>
      <c r="I50" s="134"/>
    </row>
    <row r="51" hidden="1">
      <c r="A51" s="132"/>
      <c r="B51" s="134" t="s">
        <v>2491</v>
      </c>
      <c r="C51" s="136" t="s">
        <v>2547</v>
      </c>
      <c r="D51" s="133"/>
      <c r="E51" s="136" t="s">
        <v>2493</v>
      </c>
      <c r="F51" s="134"/>
      <c r="G51" s="122" t="s">
        <v>1037</v>
      </c>
      <c r="H51" s="135"/>
      <c r="I51" s="134"/>
    </row>
    <row r="52" hidden="1">
      <c r="A52" s="132"/>
      <c r="B52" s="134" t="s">
        <v>2494</v>
      </c>
      <c r="C52" s="136" t="s">
        <v>2548</v>
      </c>
      <c r="D52" s="133"/>
      <c r="E52" s="136" t="s">
        <v>2496</v>
      </c>
      <c r="F52" s="134"/>
      <c r="G52" s="122" t="s">
        <v>1037</v>
      </c>
      <c r="H52" s="135"/>
      <c r="I52" s="134"/>
    </row>
    <row r="53" ht="72.75" hidden="1" customHeight="1">
      <c r="A53" s="137"/>
      <c r="B53" s="134" t="s">
        <v>2549</v>
      </c>
      <c r="C53" s="134" t="s">
        <v>2550</v>
      </c>
      <c r="D53" s="133"/>
      <c r="E53" s="134" t="s">
        <v>2551</v>
      </c>
      <c r="F53" s="134"/>
      <c r="G53" s="122" t="s">
        <v>1037</v>
      </c>
      <c r="H53" s="134"/>
      <c r="I53" s="134"/>
    </row>
    <row r="54" ht="72.75" hidden="1" customHeight="1">
      <c r="A54" s="137"/>
      <c r="B54" s="134" t="s">
        <v>2552</v>
      </c>
      <c r="C54" s="134" t="s">
        <v>2550</v>
      </c>
      <c r="D54" s="133"/>
      <c r="E54" s="134" t="s">
        <v>2551</v>
      </c>
      <c r="F54" s="134"/>
      <c r="G54" s="122" t="s">
        <v>1037</v>
      </c>
      <c r="H54" s="134"/>
      <c r="I54" s="134"/>
    </row>
    <row r="55" ht="72.75" hidden="1" customHeight="1">
      <c r="A55" s="137"/>
      <c r="B55" s="134" t="s">
        <v>2553</v>
      </c>
      <c r="C55" s="134" t="s">
        <v>2554</v>
      </c>
      <c r="D55" s="133"/>
      <c r="E55" s="134" t="s">
        <v>2555</v>
      </c>
      <c r="F55" s="134"/>
      <c r="G55" s="122" t="s">
        <v>1037</v>
      </c>
      <c r="H55" s="134"/>
      <c r="I55" s="134"/>
    </row>
    <row r="56" ht="72.75" hidden="1" customHeight="1">
      <c r="A56" s="137"/>
      <c r="B56" s="134" t="s">
        <v>2556</v>
      </c>
      <c r="C56" s="134" t="s">
        <v>2557</v>
      </c>
      <c r="D56" s="133"/>
      <c r="E56" s="134" t="s">
        <v>2558</v>
      </c>
      <c r="F56" s="134"/>
      <c r="G56" s="122" t="s">
        <v>1037</v>
      </c>
      <c r="H56" s="134"/>
      <c r="I56" s="134"/>
    </row>
    <row r="57" ht="72.75" hidden="1" customHeight="1">
      <c r="A57" s="137"/>
      <c r="B57" s="134" t="s">
        <v>2559</v>
      </c>
      <c r="C57" s="134" t="s">
        <v>2560</v>
      </c>
      <c r="D57" s="133"/>
      <c r="E57" s="134" t="s">
        <v>2561</v>
      </c>
      <c r="F57" s="134"/>
      <c r="G57" s="122" t="s">
        <v>1037</v>
      </c>
      <c r="H57" s="134"/>
      <c r="I57" s="134"/>
    </row>
    <row r="58" ht="15.75" customHeight="1">
      <c r="A58" s="138" t="s">
        <v>125</v>
      </c>
      <c r="B58" s="139"/>
      <c r="C58" s="140"/>
      <c r="D58" s="141"/>
      <c r="E58" s="140"/>
      <c r="F58" s="140"/>
      <c r="G58" s="141"/>
      <c r="H58" s="142"/>
      <c r="I58" s="142"/>
    </row>
    <row r="59">
      <c r="A59" s="113" t="s">
        <v>1053</v>
      </c>
      <c r="B59" s="67"/>
      <c r="C59" s="114"/>
      <c r="D59" s="143"/>
      <c r="E59" s="114"/>
      <c r="F59" s="114"/>
      <c r="G59" s="116"/>
      <c r="H59" s="114"/>
      <c r="I59" s="114"/>
    </row>
    <row r="60">
      <c r="A60" s="117"/>
      <c r="B60" s="118" t="s">
        <v>1054</v>
      </c>
      <c r="C60" s="118" t="s">
        <v>2562</v>
      </c>
      <c r="D60" s="144"/>
      <c r="E60" s="118" t="s">
        <v>2563</v>
      </c>
      <c r="F60" s="121"/>
      <c r="G60" s="145" t="s">
        <v>1037</v>
      </c>
      <c r="H60" s="121"/>
      <c r="I60" s="121"/>
    </row>
    <row r="61" ht="15.75" customHeight="1">
      <c r="A61" s="123" t="s">
        <v>19</v>
      </c>
      <c r="B61" s="67"/>
      <c r="C61" s="124"/>
      <c r="D61" s="125"/>
      <c r="E61" s="124"/>
      <c r="F61" s="124"/>
      <c r="G61" s="125"/>
      <c r="H61" s="126"/>
      <c r="I61" s="126"/>
    </row>
    <row r="62">
      <c r="A62" s="146"/>
      <c r="B62" s="128"/>
      <c r="C62" s="128"/>
      <c r="D62" s="130"/>
      <c r="E62" s="128"/>
      <c r="F62" s="128"/>
      <c r="G62" s="122"/>
      <c r="H62" s="128"/>
      <c r="I62" s="128"/>
    </row>
    <row r="63" ht="15.75" customHeight="1">
      <c r="A63" s="123" t="s">
        <v>2564</v>
      </c>
      <c r="B63" s="67"/>
      <c r="C63" s="124"/>
      <c r="D63" s="125"/>
      <c r="E63" s="124"/>
      <c r="F63" s="124"/>
      <c r="G63" s="125"/>
      <c r="H63" s="126"/>
      <c r="I63" s="126"/>
    </row>
    <row r="64">
      <c r="A64" s="146"/>
      <c r="B64" s="128"/>
      <c r="C64" s="128"/>
      <c r="D64" s="130"/>
      <c r="E64" s="128"/>
      <c r="F64" s="128"/>
      <c r="G64" s="122"/>
      <c r="H64" s="128"/>
      <c r="I64" s="128"/>
    </row>
    <row r="65" ht="15.75" customHeight="1">
      <c r="A65" s="123" t="s">
        <v>2565</v>
      </c>
      <c r="B65" s="67"/>
      <c r="C65" s="124"/>
      <c r="D65" s="125"/>
      <c r="E65" s="124"/>
      <c r="F65" s="124"/>
      <c r="G65" s="125"/>
      <c r="H65" s="126"/>
      <c r="I65" s="126"/>
    </row>
    <row r="66">
      <c r="A66" s="146"/>
      <c r="B66" s="128"/>
      <c r="C66" s="128"/>
      <c r="D66" s="130"/>
      <c r="E66" s="128"/>
      <c r="F66" s="128"/>
      <c r="G66" s="122"/>
      <c r="H66" s="128"/>
      <c r="I66" s="128"/>
    </row>
    <row r="67" ht="15.75" customHeight="1">
      <c r="A67" s="123" t="s">
        <v>2566</v>
      </c>
      <c r="B67" s="67"/>
      <c r="C67" s="124"/>
      <c r="D67" s="125"/>
      <c r="E67" s="124"/>
      <c r="F67" s="124"/>
      <c r="G67" s="125"/>
      <c r="H67" s="126"/>
      <c r="I67" s="126"/>
    </row>
    <row r="68">
      <c r="A68" s="146"/>
      <c r="B68" s="128"/>
      <c r="C68" s="128"/>
      <c r="D68" s="130"/>
      <c r="E68" s="128"/>
      <c r="F68" s="128"/>
      <c r="G68" s="122"/>
      <c r="H68" s="128"/>
      <c r="I68" s="128"/>
    </row>
    <row r="69" ht="15.75" customHeight="1">
      <c r="A69" s="123" t="s">
        <v>2567</v>
      </c>
      <c r="B69" s="67"/>
      <c r="C69" s="124"/>
      <c r="D69" s="125"/>
      <c r="E69" s="124"/>
      <c r="F69" s="124"/>
      <c r="G69" s="125"/>
      <c r="H69" s="126"/>
      <c r="I69" s="126"/>
    </row>
    <row r="70">
      <c r="A70" s="146"/>
      <c r="B70" s="128"/>
      <c r="C70" s="128"/>
      <c r="D70" s="130"/>
      <c r="E70" s="128"/>
      <c r="F70" s="128"/>
      <c r="G70" s="122"/>
      <c r="H70" s="128"/>
      <c r="I70" s="128"/>
    </row>
    <row r="71" ht="15.75" customHeight="1">
      <c r="A71" s="123" t="s">
        <v>2568</v>
      </c>
      <c r="B71" s="67"/>
      <c r="C71" s="124"/>
      <c r="D71" s="125"/>
      <c r="E71" s="124"/>
      <c r="F71" s="124"/>
      <c r="G71" s="125"/>
      <c r="H71" s="126"/>
      <c r="I71" s="126"/>
    </row>
    <row r="72">
      <c r="A72" s="146"/>
      <c r="B72" s="128"/>
      <c r="C72" s="128"/>
      <c r="D72" s="130"/>
      <c r="E72" s="128"/>
      <c r="F72" s="128"/>
      <c r="G72" s="122"/>
      <c r="H72" s="128"/>
      <c r="I72" s="128"/>
    </row>
    <row r="73" ht="15.75" customHeight="1">
      <c r="A73" s="123" t="s">
        <v>2569</v>
      </c>
      <c r="B73" s="67"/>
      <c r="C73" s="124"/>
      <c r="D73" s="125"/>
      <c r="E73" s="124"/>
      <c r="F73" s="124"/>
      <c r="G73" s="125"/>
      <c r="H73" s="126"/>
      <c r="I73" s="126"/>
    </row>
    <row r="74">
      <c r="A74" s="146"/>
      <c r="B74" s="128"/>
      <c r="C74" s="128"/>
      <c r="D74" s="130"/>
      <c r="E74" s="128"/>
      <c r="F74" s="128"/>
      <c r="G74" s="122"/>
      <c r="H74" s="128"/>
      <c r="I74" s="128"/>
    </row>
    <row r="75" ht="15.75" customHeight="1">
      <c r="A75" s="123" t="s">
        <v>32</v>
      </c>
      <c r="B75" s="67"/>
      <c r="C75" s="124"/>
      <c r="D75" s="125"/>
      <c r="E75" s="124"/>
      <c r="F75" s="124"/>
      <c r="G75" s="125"/>
      <c r="H75" s="126"/>
      <c r="I75" s="126"/>
    </row>
    <row r="76">
      <c r="A76" s="146"/>
      <c r="B76" s="128"/>
      <c r="C76" s="128"/>
      <c r="D76" s="130"/>
      <c r="E76" s="128"/>
      <c r="F76" s="128"/>
      <c r="G76" s="122"/>
      <c r="H76" s="128"/>
      <c r="I76" s="128"/>
    </row>
    <row r="77" ht="15.75" customHeight="1">
      <c r="A77" s="123" t="s">
        <v>2570</v>
      </c>
      <c r="B77" s="67"/>
      <c r="C77" s="124"/>
      <c r="D77" s="125"/>
      <c r="E77" s="124"/>
      <c r="F77" s="124"/>
      <c r="G77" s="125"/>
      <c r="H77" s="126"/>
      <c r="I77" s="126"/>
    </row>
    <row r="78">
      <c r="A78" s="146"/>
      <c r="B78" s="128"/>
      <c r="C78" s="128"/>
      <c r="D78" s="130"/>
      <c r="E78" s="128"/>
      <c r="F78" s="128"/>
      <c r="G78" s="122"/>
      <c r="H78" s="128"/>
      <c r="I78" s="128"/>
    </row>
    <row r="79">
      <c r="A79" s="146"/>
      <c r="B79" s="128"/>
      <c r="C79" s="128"/>
      <c r="D79" s="130"/>
      <c r="E79" s="128"/>
      <c r="F79" s="128"/>
      <c r="G79" s="122"/>
      <c r="H79" s="128"/>
      <c r="I79" s="128"/>
    </row>
    <row r="80">
      <c r="A80" s="146"/>
      <c r="B80" s="128"/>
      <c r="C80" s="128"/>
      <c r="D80" s="130"/>
      <c r="E80" s="128"/>
      <c r="F80" s="128"/>
      <c r="G80" s="122"/>
      <c r="H80" s="128"/>
      <c r="I80" s="128"/>
    </row>
  </sheetData>
  <mergeCells count="17">
    <mergeCell ref="A4:B4"/>
    <mergeCell ref="A6:B6"/>
    <mergeCell ref="A14:B14"/>
    <mergeCell ref="A24:B24"/>
    <mergeCell ref="A34:B34"/>
    <mergeCell ref="A45:B45"/>
    <mergeCell ref="A58:B58"/>
    <mergeCell ref="A73:B73"/>
    <mergeCell ref="A75:B75"/>
    <mergeCell ref="A77:B77"/>
    <mergeCell ref="A59:B59"/>
    <mergeCell ref="A61:B61"/>
    <mergeCell ref="A63:B63"/>
    <mergeCell ref="A65:B65"/>
    <mergeCell ref="A67:B67"/>
    <mergeCell ref="A69:B69"/>
    <mergeCell ref="A71:B71"/>
  </mergeCells>
  <conditionalFormatting sqref="G4:G57 G59:G80">
    <cfRule type="containsText" dxfId="3" priority="1" operator="containsText" text="NOT YET STARTED">
      <formula>NOT(ISERROR(SEARCH(("NOT YET STARTED"),(G4))))</formula>
    </cfRule>
  </conditionalFormatting>
  <conditionalFormatting sqref="G4:G57 G59:G80">
    <cfRule type="containsText" dxfId="2" priority="2" operator="containsText" text="PASSED">
      <formula>NOT(ISERROR(SEARCH(("PASSED"),(G4))))</formula>
    </cfRule>
  </conditionalFormatting>
  <conditionalFormatting sqref="G4:G57 G59:G80">
    <cfRule type="containsText" dxfId="1" priority="3" operator="containsText" text="FAILED">
      <formula>NOT(ISERROR(SEARCH(("FAILED"),(G4))))</formula>
    </cfRule>
  </conditionalFormatting>
  <conditionalFormatting sqref="G4:G57 G59:G80">
    <cfRule type="containsText" dxfId="0" priority="4" operator="containsText" text="RE-TEST">
      <formula>NOT(ISERROR(SEARCH(("RE-TEST"),(G4))))</formula>
    </cfRule>
  </conditionalFormatting>
  <printOptions/>
  <pageMargins bottom="0.0" footer="0.0" header="0.0" left="0.0" right="0.0" top="0.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88"/>
    <col customWidth="1" min="2" max="2" width="23.38"/>
    <col customWidth="1" min="3" max="3" width="37.25"/>
    <col customWidth="1" min="4" max="4" width="30.5"/>
    <col customWidth="1" min="5" max="5" width="30.38"/>
    <col customWidth="1" min="6" max="6" width="16.63"/>
    <col customWidth="1" min="7" max="7" width="17.63"/>
    <col customWidth="1" min="8" max="9" width="26.25"/>
  </cols>
  <sheetData>
    <row r="1" ht="14.25" customHeight="1">
      <c r="A1" s="58"/>
      <c r="B1" s="59"/>
      <c r="C1" s="59"/>
      <c r="D1" s="59"/>
      <c r="E1" s="59"/>
      <c r="F1" s="59"/>
      <c r="G1" s="58"/>
      <c r="H1" s="58"/>
      <c r="I1" s="58"/>
    </row>
    <row r="2" ht="39.0" customHeight="1">
      <c r="A2" s="60" t="s">
        <v>212</v>
      </c>
      <c r="B2" s="60" t="s">
        <v>213</v>
      </c>
      <c r="C2" s="60" t="s">
        <v>214</v>
      </c>
      <c r="D2" s="60" t="s">
        <v>215</v>
      </c>
      <c r="E2" s="60" t="s">
        <v>216</v>
      </c>
      <c r="F2" s="60" t="s">
        <v>217</v>
      </c>
      <c r="G2" s="60" t="s">
        <v>218</v>
      </c>
      <c r="H2" s="60" t="s">
        <v>219</v>
      </c>
      <c r="I2" s="60"/>
    </row>
    <row r="3" ht="15.75" customHeight="1">
      <c r="A3" s="147" t="s">
        <v>13</v>
      </c>
      <c r="B3" s="67"/>
      <c r="C3" s="63"/>
      <c r="D3" s="63"/>
      <c r="E3" s="63"/>
      <c r="F3" s="64"/>
      <c r="G3" s="65"/>
      <c r="H3" s="65"/>
      <c r="I3" s="65"/>
    </row>
    <row r="4" ht="15.75" customHeight="1">
      <c r="A4" s="66" t="s">
        <v>2571</v>
      </c>
      <c r="B4" s="67"/>
      <c r="C4" s="68"/>
      <c r="D4" s="68"/>
      <c r="E4" s="68"/>
      <c r="F4" s="68"/>
      <c r="G4" s="69"/>
      <c r="H4" s="69"/>
      <c r="I4" s="69"/>
    </row>
    <row r="5">
      <c r="A5" s="77">
        <v>1.0</v>
      </c>
      <c r="B5" s="78" t="s">
        <v>329</v>
      </c>
      <c r="C5" s="78" t="s">
        <v>330</v>
      </c>
      <c r="D5" s="74" t="s">
        <v>331</v>
      </c>
      <c r="E5" s="78"/>
      <c r="F5" s="72" t="s">
        <v>8</v>
      </c>
      <c r="G5" s="78"/>
      <c r="H5" s="78"/>
      <c r="I5" s="78"/>
    </row>
    <row r="6">
      <c r="A6" s="77">
        <v>2.0</v>
      </c>
      <c r="B6" s="74" t="s">
        <v>332</v>
      </c>
      <c r="C6" s="74" t="s">
        <v>333</v>
      </c>
      <c r="D6" s="74" t="s">
        <v>334</v>
      </c>
      <c r="E6" s="78"/>
      <c r="F6" s="72" t="s">
        <v>8</v>
      </c>
      <c r="G6" s="78"/>
      <c r="H6" s="78"/>
      <c r="I6" s="78"/>
    </row>
    <row r="7">
      <c r="A7" s="77">
        <v>3.0</v>
      </c>
      <c r="B7" s="74" t="s">
        <v>335</v>
      </c>
      <c r="C7" s="74" t="s">
        <v>336</v>
      </c>
      <c r="D7" s="74" t="s">
        <v>337</v>
      </c>
      <c r="E7" s="74"/>
      <c r="F7" s="72" t="s">
        <v>8</v>
      </c>
      <c r="G7" s="74"/>
      <c r="H7" s="74"/>
      <c r="I7" s="74"/>
    </row>
    <row r="8">
      <c r="A8" s="77">
        <v>4.0</v>
      </c>
      <c r="B8" s="74" t="s">
        <v>338</v>
      </c>
      <c r="C8" s="74" t="s">
        <v>339</v>
      </c>
      <c r="D8" s="74" t="s">
        <v>340</v>
      </c>
      <c r="E8" s="74"/>
      <c r="F8" s="72" t="s">
        <v>8</v>
      </c>
      <c r="G8" s="74"/>
      <c r="H8" s="74"/>
      <c r="I8" s="74"/>
    </row>
    <row r="9">
      <c r="A9" s="77">
        <v>5.0</v>
      </c>
      <c r="B9" s="74" t="s">
        <v>341</v>
      </c>
      <c r="C9" s="74" t="s">
        <v>342</v>
      </c>
      <c r="D9" s="74" t="s">
        <v>343</v>
      </c>
      <c r="E9" s="74"/>
      <c r="F9" s="72" t="s">
        <v>8</v>
      </c>
      <c r="G9" s="74"/>
      <c r="H9" s="74"/>
      <c r="I9" s="74"/>
    </row>
    <row r="10">
      <c r="A10" s="77">
        <v>6.0</v>
      </c>
      <c r="B10" s="74" t="s">
        <v>344</v>
      </c>
      <c r="C10" s="74" t="s">
        <v>345</v>
      </c>
      <c r="D10" s="74" t="s">
        <v>346</v>
      </c>
      <c r="E10" s="74"/>
      <c r="F10" s="72" t="s">
        <v>8</v>
      </c>
      <c r="G10" s="74"/>
      <c r="H10" s="74"/>
      <c r="I10" s="74"/>
    </row>
    <row r="11">
      <c r="A11" s="77">
        <v>7.0</v>
      </c>
      <c r="B11" s="74" t="s">
        <v>347</v>
      </c>
      <c r="C11" s="74" t="s">
        <v>348</v>
      </c>
      <c r="D11" s="74" t="s">
        <v>343</v>
      </c>
      <c r="E11" s="74"/>
      <c r="F11" s="72" t="s">
        <v>8</v>
      </c>
      <c r="G11" s="74"/>
      <c r="H11" s="74"/>
      <c r="I11" s="74"/>
    </row>
    <row r="12">
      <c r="A12" s="77">
        <v>8.0</v>
      </c>
      <c r="B12" s="74" t="s">
        <v>349</v>
      </c>
      <c r="C12" s="74" t="s">
        <v>350</v>
      </c>
      <c r="D12" s="74" t="s">
        <v>346</v>
      </c>
      <c r="E12" s="74"/>
      <c r="F12" s="72" t="s">
        <v>8</v>
      </c>
      <c r="G12" s="74"/>
      <c r="H12" s="74"/>
      <c r="I12" s="74"/>
    </row>
    <row r="13">
      <c r="A13" s="77">
        <v>9.0</v>
      </c>
      <c r="B13" s="74" t="s">
        <v>351</v>
      </c>
      <c r="C13" s="74" t="s">
        <v>352</v>
      </c>
      <c r="D13" s="74" t="s">
        <v>353</v>
      </c>
      <c r="E13" s="74"/>
      <c r="F13" s="72" t="s">
        <v>8</v>
      </c>
      <c r="G13" s="74"/>
      <c r="H13" s="74"/>
      <c r="I13" s="74"/>
    </row>
    <row r="14">
      <c r="A14" s="77">
        <v>10.0</v>
      </c>
      <c r="B14" s="74" t="s">
        <v>354</v>
      </c>
      <c r="C14" s="74" t="s">
        <v>355</v>
      </c>
      <c r="D14" s="74" t="s">
        <v>356</v>
      </c>
      <c r="E14" s="74"/>
      <c r="F14" s="72" t="s">
        <v>8</v>
      </c>
      <c r="G14" s="74"/>
      <c r="H14" s="74"/>
      <c r="I14" s="74"/>
    </row>
    <row r="15" ht="15.75" customHeight="1">
      <c r="A15" s="66" t="s">
        <v>19</v>
      </c>
      <c r="B15" s="91"/>
      <c r="C15" s="91"/>
      <c r="D15" s="91"/>
      <c r="E15" s="91"/>
      <c r="F15" s="91"/>
      <c r="G15" s="91"/>
      <c r="H15" s="67"/>
      <c r="I15" s="101"/>
    </row>
    <row r="16">
      <c r="A16" s="77">
        <v>1.0</v>
      </c>
      <c r="B16" s="78" t="s">
        <v>2572</v>
      </c>
      <c r="C16" s="78" t="s">
        <v>2573</v>
      </c>
      <c r="D16" s="78" t="s">
        <v>2574</v>
      </c>
      <c r="E16" s="78"/>
      <c r="F16" s="77" t="s">
        <v>8</v>
      </c>
      <c r="G16" s="78"/>
      <c r="H16" s="78"/>
      <c r="I16" s="74"/>
    </row>
    <row r="17">
      <c r="A17" s="77">
        <v>2.0</v>
      </c>
      <c r="B17" s="78" t="s">
        <v>2575</v>
      </c>
      <c r="C17" s="78" t="s">
        <v>2576</v>
      </c>
      <c r="D17" s="78" t="s">
        <v>2577</v>
      </c>
      <c r="E17" s="78"/>
      <c r="F17" s="77" t="s">
        <v>8</v>
      </c>
      <c r="G17" s="78"/>
      <c r="H17" s="78"/>
      <c r="I17" s="74"/>
    </row>
    <row r="18">
      <c r="A18" s="77">
        <v>3.0</v>
      </c>
      <c r="B18" s="78" t="s">
        <v>2578</v>
      </c>
      <c r="C18" s="78" t="s">
        <v>2579</v>
      </c>
      <c r="D18" s="78" t="s">
        <v>2580</v>
      </c>
      <c r="E18" s="78"/>
      <c r="F18" s="77" t="s">
        <v>8</v>
      </c>
      <c r="G18" s="78"/>
      <c r="H18" s="78"/>
      <c r="I18" s="74"/>
    </row>
    <row r="19">
      <c r="A19" s="77">
        <v>4.0</v>
      </c>
      <c r="B19" s="78" t="s">
        <v>2581</v>
      </c>
      <c r="C19" s="78" t="s">
        <v>2582</v>
      </c>
      <c r="D19" s="78" t="s">
        <v>2583</v>
      </c>
      <c r="E19" s="78"/>
      <c r="F19" s="77" t="s">
        <v>8</v>
      </c>
      <c r="G19" s="78"/>
      <c r="H19" s="78"/>
      <c r="I19" s="74"/>
    </row>
    <row r="20">
      <c r="A20" s="77">
        <v>5.0</v>
      </c>
      <c r="B20" s="78" t="s">
        <v>2584</v>
      </c>
      <c r="C20" s="78" t="s">
        <v>2585</v>
      </c>
      <c r="D20" s="78" t="s">
        <v>2586</v>
      </c>
      <c r="E20" s="78"/>
      <c r="F20" s="77" t="s">
        <v>8</v>
      </c>
      <c r="G20" s="78"/>
      <c r="H20" s="78"/>
      <c r="I20" s="74"/>
    </row>
    <row r="21">
      <c r="A21" s="77">
        <v>6.0</v>
      </c>
      <c r="B21" s="78" t="s">
        <v>2587</v>
      </c>
      <c r="C21" s="78" t="s">
        <v>2588</v>
      </c>
      <c r="D21" s="78" t="s">
        <v>2589</v>
      </c>
      <c r="E21" s="78"/>
      <c r="F21" s="77" t="s">
        <v>8</v>
      </c>
      <c r="G21" s="78"/>
      <c r="H21" s="78"/>
      <c r="I21" s="74"/>
    </row>
    <row r="22">
      <c r="A22" s="77">
        <v>7.0</v>
      </c>
      <c r="B22" s="78" t="s">
        <v>2590</v>
      </c>
      <c r="C22" s="78" t="s">
        <v>2591</v>
      </c>
      <c r="D22" s="78" t="s">
        <v>2592</v>
      </c>
      <c r="E22" s="78"/>
      <c r="F22" s="77" t="s">
        <v>8</v>
      </c>
      <c r="G22" s="78"/>
      <c r="H22" s="78"/>
      <c r="I22" s="74"/>
    </row>
    <row r="23">
      <c r="A23" s="77">
        <v>8.0</v>
      </c>
      <c r="B23" s="78" t="s">
        <v>2593</v>
      </c>
      <c r="C23" s="78" t="s">
        <v>2594</v>
      </c>
      <c r="D23" s="78" t="s">
        <v>2595</v>
      </c>
      <c r="E23" s="78"/>
      <c r="F23" s="77" t="s">
        <v>8</v>
      </c>
      <c r="G23" s="78"/>
      <c r="H23" s="78"/>
      <c r="I23" s="74"/>
    </row>
    <row r="24">
      <c r="A24" s="77">
        <v>9.0</v>
      </c>
      <c r="B24" s="78" t="s">
        <v>2596</v>
      </c>
      <c r="C24" s="78" t="s">
        <v>2597</v>
      </c>
      <c r="D24" s="78" t="s">
        <v>2598</v>
      </c>
      <c r="E24" s="78"/>
      <c r="F24" s="77" t="s">
        <v>8</v>
      </c>
      <c r="G24" s="78"/>
      <c r="H24" s="78"/>
      <c r="I24" s="74"/>
    </row>
    <row r="25">
      <c r="A25" s="77">
        <v>10.0</v>
      </c>
      <c r="B25" s="78" t="s">
        <v>2599</v>
      </c>
      <c r="C25" s="78" t="s">
        <v>2600</v>
      </c>
      <c r="D25" s="78" t="s">
        <v>2601</v>
      </c>
      <c r="E25" s="78"/>
      <c r="F25" s="77" t="s">
        <v>7</v>
      </c>
      <c r="G25" s="78"/>
      <c r="H25" s="78"/>
      <c r="I25" s="74"/>
    </row>
    <row r="26">
      <c r="A26" s="77">
        <v>11.0</v>
      </c>
      <c r="B26" s="78" t="s">
        <v>2602</v>
      </c>
      <c r="C26" s="78" t="s">
        <v>2603</v>
      </c>
      <c r="D26" s="78" t="s">
        <v>2604</v>
      </c>
      <c r="E26" s="78"/>
      <c r="F26" s="77" t="s">
        <v>7</v>
      </c>
      <c r="G26" s="78"/>
      <c r="H26" s="78"/>
      <c r="I26" s="74"/>
    </row>
    <row r="27">
      <c r="A27" s="77">
        <v>12.0</v>
      </c>
      <c r="B27" s="78" t="s">
        <v>2605</v>
      </c>
      <c r="C27" s="78" t="s">
        <v>2606</v>
      </c>
      <c r="D27" s="78" t="s">
        <v>2607</v>
      </c>
      <c r="E27" s="78"/>
      <c r="F27" s="77" t="s">
        <v>7</v>
      </c>
      <c r="G27" s="78"/>
      <c r="H27" s="78"/>
      <c r="I27" s="74"/>
    </row>
    <row r="28">
      <c r="A28" s="77">
        <v>13.0</v>
      </c>
      <c r="B28" s="78" t="s">
        <v>2608</v>
      </c>
      <c r="C28" s="78" t="s">
        <v>2609</v>
      </c>
      <c r="D28" s="78" t="s">
        <v>2610</v>
      </c>
      <c r="E28" s="78"/>
      <c r="F28" s="77" t="s">
        <v>7</v>
      </c>
      <c r="G28" s="78"/>
      <c r="H28" s="78"/>
      <c r="I28" s="74"/>
    </row>
    <row r="29" ht="15.75" customHeight="1">
      <c r="A29" s="66" t="s">
        <v>22</v>
      </c>
      <c r="B29" s="91"/>
      <c r="C29" s="91"/>
      <c r="D29" s="91"/>
      <c r="E29" s="91"/>
      <c r="F29" s="91"/>
      <c r="G29" s="91"/>
      <c r="H29" s="67"/>
      <c r="I29" s="101"/>
    </row>
    <row r="30">
      <c r="A30" s="77">
        <v>1.0</v>
      </c>
      <c r="B30" s="78" t="s">
        <v>2611</v>
      </c>
      <c r="C30" s="78" t="s">
        <v>2612</v>
      </c>
      <c r="D30" s="78" t="s">
        <v>2613</v>
      </c>
      <c r="E30" s="78"/>
      <c r="F30" s="77" t="s">
        <v>8</v>
      </c>
      <c r="G30" s="78"/>
      <c r="H30" s="78"/>
      <c r="I30" s="74"/>
    </row>
    <row r="31">
      <c r="A31" s="77">
        <v>2.0</v>
      </c>
      <c r="B31" s="78" t="s">
        <v>2614</v>
      </c>
      <c r="C31" s="78" t="s">
        <v>2615</v>
      </c>
      <c r="D31" s="78" t="s">
        <v>2616</v>
      </c>
      <c r="E31" s="78"/>
      <c r="F31" s="77" t="s">
        <v>8</v>
      </c>
      <c r="G31" s="78"/>
      <c r="H31" s="78"/>
      <c r="I31" s="74"/>
    </row>
    <row r="32">
      <c r="A32" s="77">
        <v>3.0</v>
      </c>
      <c r="B32" s="78" t="s">
        <v>2617</v>
      </c>
      <c r="C32" s="78" t="s">
        <v>2618</v>
      </c>
      <c r="D32" s="78" t="s">
        <v>2619</v>
      </c>
      <c r="E32" s="78"/>
      <c r="F32" s="77" t="s">
        <v>8</v>
      </c>
      <c r="G32" s="78"/>
      <c r="H32" s="78"/>
      <c r="I32" s="74"/>
    </row>
    <row r="33">
      <c r="A33" s="77">
        <v>4.0</v>
      </c>
      <c r="B33" s="78" t="s">
        <v>2620</v>
      </c>
      <c r="C33" s="78" t="s">
        <v>2621</v>
      </c>
      <c r="D33" s="78" t="s">
        <v>2619</v>
      </c>
      <c r="E33" s="78"/>
      <c r="F33" s="77" t="s">
        <v>8</v>
      </c>
      <c r="G33" s="78"/>
      <c r="H33" s="78"/>
      <c r="I33" s="74"/>
    </row>
    <row r="34">
      <c r="A34" s="77">
        <v>5.0</v>
      </c>
      <c r="B34" s="78" t="s">
        <v>2622</v>
      </c>
      <c r="C34" s="78" t="s">
        <v>2623</v>
      </c>
      <c r="D34" s="78" t="s">
        <v>2624</v>
      </c>
      <c r="E34" s="74" t="s">
        <v>241</v>
      </c>
      <c r="F34" s="95" t="s">
        <v>8</v>
      </c>
      <c r="G34" s="76" t="s">
        <v>1495</v>
      </c>
      <c r="H34" s="78"/>
      <c r="I34" s="74"/>
    </row>
    <row r="35">
      <c r="A35" s="77">
        <v>6.0</v>
      </c>
      <c r="B35" s="78" t="s">
        <v>2625</v>
      </c>
      <c r="C35" s="78" t="s">
        <v>2626</v>
      </c>
      <c r="D35" s="78" t="s">
        <v>2627</v>
      </c>
      <c r="E35" s="78"/>
      <c r="F35" s="77" t="s">
        <v>8</v>
      </c>
      <c r="G35" s="78"/>
      <c r="H35" s="78"/>
      <c r="I35" s="74"/>
    </row>
    <row r="36">
      <c r="A36" s="77">
        <v>7.0</v>
      </c>
      <c r="B36" s="78" t="s">
        <v>2628</v>
      </c>
      <c r="C36" s="78" t="s">
        <v>2629</v>
      </c>
      <c r="D36" s="78" t="s">
        <v>2630</v>
      </c>
      <c r="E36" s="78"/>
      <c r="F36" s="77" t="s">
        <v>8</v>
      </c>
      <c r="G36" s="78"/>
      <c r="H36" s="78"/>
      <c r="I36" s="74"/>
    </row>
    <row r="37">
      <c r="A37" s="77">
        <v>8.0</v>
      </c>
      <c r="B37" s="78" t="s">
        <v>2631</v>
      </c>
      <c r="C37" s="78" t="s">
        <v>2632</v>
      </c>
      <c r="D37" s="78" t="s">
        <v>2633</v>
      </c>
      <c r="E37" s="74"/>
      <c r="F37" s="77" t="s">
        <v>8</v>
      </c>
      <c r="G37" s="74"/>
      <c r="H37" s="74"/>
      <c r="I37" s="74"/>
    </row>
    <row r="38">
      <c r="A38" s="77">
        <v>9.0</v>
      </c>
      <c r="B38" s="78" t="s">
        <v>2634</v>
      </c>
      <c r="C38" s="78" t="s">
        <v>2635</v>
      </c>
      <c r="D38" s="78" t="s">
        <v>2636</v>
      </c>
      <c r="E38" s="76" t="s">
        <v>2637</v>
      </c>
      <c r="F38" s="77" t="s">
        <v>8</v>
      </c>
      <c r="G38" s="76" t="s">
        <v>1801</v>
      </c>
      <c r="H38" s="74"/>
      <c r="I38" s="74"/>
    </row>
    <row r="39">
      <c r="A39" s="77">
        <v>10.0</v>
      </c>
      <c r="B39" s="78" t="s">
        <v>2638</v>
      </c>
      <c r="C39" s="78" t="s">
        <v>2639</v>
      </c>
      <c r="D39" s="78" t="s">
        <v>2640</v>
      </c>
      <c r="E39" s="78"/>
      <c r="F39" s="77" t="s">
        <v>8</v>
      </c>
      <c r="G39" s="74"/>
      <c r="H39" s="74"/>
      <c r="I39" s="74"/>
    </row>
    <row r="40">
      <c r="A40" s="77">
        <v>11.0</v>
      </c>
      <c r="B40" s="78" t="s">
        <v>2641</v>
      </c>
      <c r="C40" s="78" t="s">
        <v>2642</v>
      </c>
      <c r="D40" s="78" t="s">
        <v>2643</v>
      </c>
      <c r="E40" s="74"/>
      <c r="F40" s="77" t="s">
        <v>8</v>
      </c>
      <c r="G40" s="74"/>
      <c r="H40" s="74"/>
      <c r="I40" s="74"/>
    </row>
    <row r="41">
      <c r="A41" s="77">
        <v>12.0</v>
      </c>
      <c r="B41" s="78" t="s">
        <v>2644</v>
      </c>
      <c r="C41" s="78" t="s">
        <v>2645</v>
      </c>
      <c r="D41" s="78" t="s">
        <v>2646</v>
      </c>
      <c r="E41" s="74"/>
      <c r="F41" s="77" t="s">
        <v>8</v>
      </c>
      <c r="G41" s="74"/>
      <c r="H41" s="74"/>
      <c r="I41" s="74"/>
    </row>
    <row r="42">
      <c r="A42" s="77">
        <v>13.0</v>
      </c>
      <c r="B42" s="78" t="s">
        <v>2647</v>
      </c>
      <c r="C42" s="78" t="s">
        <v>2648</v>
      </c>
      <c r="D42" s="78" t="s">
        <v>2649</v>
      </c>
      <c r="E42" s="74"/>
      <c r="F42" s="77" t="s">
        <v>8</v>
      </c>
      <c r="G42" s="74"/>
      <c r="H42" s="74"/>
      <c r="I42" s="74"/>
    </row>
    <row r="43">
      <c r="A43" s="77">
        <v>14.0</v>
      </c>
      <c r="B43" s="78" t="s">
        <v>682</v>
      </c>
      <c r="C43" s="78" t="s">
        <v>2650</v>
      </c>
      <c r="D43" s="78" t="s">
        <v>2651</v>
      </c>
      <c r="E43" s="74"/>
      <c r="F43" s="77" t="s">
        <v>8</v>
      </c>
      <c r="G43" s="74"/>
      <c r="H43" s="74"/>
      <c r="I43" s="74"/>
    </row>
    <row r="44">
      <c r="A44" s="77">
        <v>15.0</v>
      </c>
      <c r="B44" s="78" t="s">
        <v>2652</v>
      </c>
      <c r="C44" s="78" t="s">
        <v>2653</v>
      </c>
      <c r="D44" s="78" t="s">
        <v>2654</v>
      </c>
      <c r="E44" s="74"/>
      <c r="F44" s="77" t="s">
        <v>8</v>
      </c>
      <c r="G44" s="74"/>
      <c r="H44" s="74"/>
      <c r="I44" s="74"/>
    </row>
    <row r="45">
      <c r="A45" s="77">
        <v>16.0</v>
      </c>
      <c r="B45" s="78" t="s">
        <v>2655</v>
      </c>
      <c r="C45" s="78" t="s">
        <v>2656</v>
      </c>
      <c r="D45" s="78" t="s">
        <v>2657</v>
      </c>
      <c r="E45" s="74"/>
      <c r="F45" s="77" t="s">
        <v>8</v>
      </c>
      <c r="G45" s="74"/>
      <c r="H45" s="74"/>
      <c r="I45" s="74"/>
    </row>
    <row r="46">
      <c r="A46" s="77">
        <v>17.0</v>
      </c>
      <c r="B46" s="71" t="s">
        <v>2658</v>
      </c>
      <c r="C46" s="71" t="s">
        <v>2659</v>
      </c>
      <c r="D46" s="71" t="s">
        <v>2660</v>
      </c>
      <c r="E46" s="71"/>
      <c r="F46" s="77" t="s">
        <v>8</v>
      </c>
      <c r="G46" s="74"/>
      <c r="H46" s="74"/>
      <c r="I46" s="74"/>
    </row>
    <row r="47">
      <c r="A47" s="77">
        <v>18.0</v>
      </c>
      <c r="B47" s="71" t="s">
        <v>2661</v>
      </c>
      <c r="C47" s="71" t="s">
        <v>1210</v>
      </c>
      <c r="D47" s="71" t="s">
        <v>2662</v>
      </c>
      <c r="E47" s="71"/>
      <c r="F47" s="77" t="s">
        <v>8</v>
      </c>
      <c r="G47" s="74"/>
      <c r="H47" s="74"/>
      <c r="I47" s="74"/>
    </row>
    <row r="48">
      <c r="A48" s="77">
        <v>19.0</v>
      </c>
      <c r="B48" s="71" t="s">
        <v>1212</v>
      </c>
      <c r="C48" s="71" t="s">
        <v>1213</v>
      </c>
      <c r="D48" s="71" t="s">
        <v>2663</v>
      </c>
      <c r="E48" s="71"/>
      <c r="F48" s="77" t="s">
        <v>8</v>
      </c>
      <c r="G48" s="74"/>
      <c r="H48" s="74"/>
      <c r="I48" s="74"/>
    </row>
    <row r="49">
      <c r="A49" s="77">
        <v>20.0</v>
      </c>
      <c r="B49" s="71" t="s">
        <v>2664</v>
      </c>
      <c r="C49" s="71" t="s">
        <v>2665</v>
      </c>
      <c r="D49" s="71" t="s">
        <v>2666</v>
      </c>
      <c r="E49" s="71"/>
      <c r="F49" s="77" t="s">
        <v>8</v>
      </c>
      <c r="G49" s="74"/>
      <c r="H49" s="74"/>
      <c r="I49" s="74"/>
    </row>
    <row r="50">
      <c r="A50" s="77">
        <v>21.0</v>
      </c>
      <c r="B50" s="71" t="s">
        <v>1221</v>
      </c>
      <c r="C50" s="71" t="s">
        <v>2667</v>
      </c>
      <c r="D50" s="71" t="s">
        <v>2668</v>
      </c>
      <c r="E50" s="71"/>
      <c r="F50" s="77" t="s">
        <v>8</v>
      </c>
      <c r="G50" s="74"/>
      <c r="H50" s="74"/>
      <c r="I50" s="74"/>
    </row>
    <row r="51">
      <c r="A51" s="77">
        <v>22.0</v>
      </c>
      <c r="B51" s="71" t="s">
        <v>2669</v>
      </c>
      <c r="C51" s="71" t="s">
        <v>2670</v>
      </c>
      <c r="D51" s="71" t="s">
        <v>2671</v>
      </c>
      <c r="E51" s="71"/>
      <c r="F51" s="77" t="s">
        <v>8</v>
      </c>
      <c r="G51" s="74"/>
      <c r="H51" s="74"/>
      <c r="I51" s="74"/>
    </row>
    <row r="52">
      <c r="A52" s="77">
        <v>23.0</v>
      </c>
      <c r="B52" s="71" t="s">
        <v>2672</v>
      </c>
      <c r="C52" s="71" t="s">
        <v>2673</v>
      </c>
      <c r="D52" s="71" t="s">
        <v>2674</v>
      </c>
      <c r="E52" s="71"/>
      <c r="F52" s="77" t="s">
        <v>8</v>
      </c>
      <c r="G52" s="74"/>
      <c r="H52" s="74"/>
      <c r="I52" s="74"/>
    </row>
    <row r="53">
      <c r="A53" s="77">
        <v>24.0</v>
      </c>
      <c r="B53" s="71" t="s">
        <v>2675</v>
      </c>
      <c r="C53" s="71" t="s">
        <v>2676</v>
      </c>
      <c r="D53" s="71" t="s">
        <v>2677</v>
      </c>
      <c r="E53" s="71"/>
      <c r="F53" s="77" t="s">
        <v>8</v>
      </c>
      <c r="G53" s="74"/>
      <c r="H53" s="74"/>
      <c r="I53" s="74"/>
    </row>
    <row r="54">
      <c r="A54" s="77">
        <v>25.0</v>
      </c>
      <c r="B54" s="78" t="s">
        <v>2678</v>
      </c>
      <c r="C54" s="78" t="s">
        <v>2679</v>
      </c>
      <c r="D54" s="78" t="s">
        <v>2680</v>
      </c>
      <c r="E54" s="74"/>
      <c r="F54" s="77" t="s">
        <v>8</v>
      </c>
      <c r="G54" s="74"/>
      <c r="H54" s="74"/>
      <c r="I54" s="74"/>
    </row>
    <row r="55">
      <c r="A55" s="77">
        <v>26.0</v>
      </c>
      <c r="B55" s="78" t="s">
        <v>552</v>
      </c>
      <c r="C55" s="78" t="s">
        <v>2681</v>
      </c>
      <c r="D55" s="78" t="s">
        <v>2682</v>
      </c>
      <c r="E55" s="74"/>
      <c r="F55" s="77" t="s">
        <v>8</v>
      </c>
      <c r="G55" s="74"/>
      <c r="H55" s="74"/>
      <c r="I55" s="74"/>
    </row>
    <row r="56">
      <c r="A56" s="77">
        <v>27.0</v>
      </c>
      <c r="B56" s="78" t="s">
        <v>2683</v>
      </c>
      <c r="C56" s="78" t="s">
        <v>2684</v>
      </c>
      <c r="D56" s="78" t="s">
        <v>2685</v>
      </c>
      <c r="E56" s="74"/>
      <c r="F56" s="77" t="s">
        <v>8</v>
      </c>
      <c r="G56" s="74"/>
      <c r="H56" s="74"/>
      <c r="I56" s="74"/>
    </row>
    <row r="57">
      <c r="A57" s="77">
        <v>28.0</v>
      </c>
      <c r="B57" s="78" t="s">
        <v>2686</v>
      </c>
      <c r="C57" s="78" t="s">
        <v>2679</v>
      </c>
      <c r="D57" s="78" t="s">
        <v>2680</v>
      </c>
      <c r="E57" s="74"/>
      <c r="F57" s="77" t="s">
        <v>8</v>
      </c>
      <c r="G57" s="74"/>
      <c r="H57" s="74"/>
      <c r="I57" s="74"/>
    </row>
    <row r="58" ht="15.75" customHeight="1">
      <c r="A58" s="66" t="s">
        <v>25</v>
      </c>
      <c r="B58" s="91"/>
      <c r="C58" s="91"/>
      <c r="D58" s="91"/>
      <c r="E58" s="91"/>
      <c r="F58" s="91"/>
      <c r="G58" s="91"/>
      <c r="H58" s="67"/>
      <c r="I58" s="101"/>
    </row>
    <row r="59">
      <c r="A59" s="77">
        <v>1.0</v>
      </c>
      <c r="B59" s="78" t="s">
        <v>2687</v>
      </c>
      <c r="C59" s="78" t="s">
        <v>2688</v>
      </c>
      <c r="D59" s="78" t="s">
        <v>2689</v>
      </c>
      <c r="E59" s="78"/>
      <c r="F59" s="77" t="s">
        <v>8</v>
      </c>
      <c r="G59" s="78"/>
      <c r="H59" s="78"/>
      <c r="I59" s="74"/>
    </row>
    <row r="60">
      <c r="A60" s="77">
        <v>2.0</v>
      </c>
      <c r="B60" s="78" t="s">
        <v>2690</v>
      </c>
      <c r="C60" s="78" t="s">
        <v>2691</v>
      </c>
      <c r="D60" s="78" t="s">
        <v>2692</v>
      </c>
      <c r="E60" s="78"/>
      <c r="F60" s="77" t="s">
        <v>8</v>
      </c>
      <c r="G60" s="78"/>
      <c r="H60" s="78"/>
      <c r="I60" s="74"/>
    </row>
    <row r="61">
      <c r="A61" s="77">
        <v>3.0</v>
      </c>
      <c r="B61" s="78" t="s">
        <v>2693</v>
      </c>
      <c r="C61" s="78" t="s">
        <v>2694</v>
      </c>
      <c r="D61" s="78" t="s">
        <v>2695</v>
      </c>
      <c r="E61" s="78"/>
      <c r="F61" s="77" t="s">
        <v>8</v>
      </c>
      <c r="G61" s="78"/>
      <c r="H61" s="78"/>
      <c r="I61" s="74"/>
    </row>
    <row r="62">
      <c r="A62" s="77">
        <v>4.0</v>
      </c>
      <c r="B62" s="78" t="s">
        <v>2696</v>
      </c>
      <c r="C62" s="78" t="s">
        <v>2697</v>
      </c>
      <c r="D62" s="78" t="s">
        <v>2698</v>
      </c>
      <c r="E62" s="78"/>
      <c r="F62" s="77" t="s">
        <v>8</v>
      </c>
      <c r="G62" s="78"/>
      <c r="H62" s="78"/>
      <c r="I62" s="74"/>
    </row>
    <row r="63">
      <c r="A63" s="77">
        <v>5.0</v>
      </c>
      <c r="B63" s="78" t="s">
        <v>2699</v>
      </c>
      <c r="C63" s="78" t="s">
        <v>2700</v>
      </c>
      <c r="D63" s="78" t="s">
        <v>2701</v>
      </c>
      <c r="E63" s="74" t="s">
        <v>241</v>
      </c>
      <c r="F63" s="95" t="s">
        <v>8</v>
      </c>
      <c r="G63" s="76" t="s">
        <v>1495</v>
      </c>
      <c r="H63" s="78"/>
      <c r="I63" s="74"/>
    </row>
    <row r="64">
      <c r="A64" s="77">
        <v>6.0</v>
      </c>
      <c r="B64" s="148" t="s">
        <v>2702</v>
      </c>
      <c r="C64" s="148" t="s">
        <v>2703</v>
      </c>
      <c r="D64" s="148" t="s">
        <v>2704</v>
      </c>
      <c r="E64" s="76" t="s">
        <v>2705</v>
      </c>
      <c r="F64" s="95" t="s">
        <v>8</v>
      </c>
      <c r="G64" s="93" t="s">
        <v>702</v>
      </c>
      <c r="H64" s="78"/>
      <c r="I64" s="74"/>
    </row>
    <row r="65">
      <c r="A65" s="77">
        <v>7.0</v>
      </c>
      <c r="B65" s="78" t="s">
        <v>2706</v>
      </c>
      <c r="C65" s="78" t="s">
        <v>2707</v>
      </c>
      <c r="D65" s="78" t="s">
        <v>2708</v>
      </c>
      <c r="E65" s="78"/>
      <c r="F65" s="77" t="s">
        <v>8</v>
      </c>
      <c r="G65" s="78"/>
      <c r="H65" s="78"/>
      <c r="I65" s="74"/>
    </row>
    <row r="66">
      <c r="A66" s="77">
        <v>8.0</v>
      </c>
      <c r="B66" s="78" t="s">
        <v>2709</v>
      </c>
      <c r="C66" s="78" t="s">
        <v>2710</v>
      </c>
      <c r="D66" s="78" t="s">
        <v>2711</v>
      </c>
      <c r="E66" s="78"/>
      <c r="F66" s="77" t="s">
        <v>8</v>
      </c>
      <c r="G66" s="78"/>
      <c r="H66" s="78"/>
      <c r="I66" s="74"/>
    </row>
    <row r="67">
      <c r="A67" s="77">
        <v>9.0</v>
      </c>
      <c r="B67" s="148" t="s">
        <v>2712</v>
      </c>
      <c r="C67" s="78" t="s">
        <v>2700</v>
      </c>
      <c r="D67" s="78" t="s">
        <v>2701</v>
      </c>
      <c r="E67" s="74" t="s">
        <v>241</v>
      </c>
      <c r="F67" s="95" t="s">
        <v>8</v>
      </c>
      <c r="G67" s="76" t="s">
        <v>1495</v>
      </c>
      <c r="H67" s="78"/>
      <c r="I67" s="74"/>
    </row>
    <row r="68">
      <c r="A68" s="77">
        <v>10.0</v>
      </c>
      <c r="B68" s="148" t="s">
        <v>2713</v>
      </c>
      <c r="C68" s="148" t="s">
        <v>2703</v>
      </c>
      <c r="D68" s="148" t="s">
        <v>2704</v>
      </c>
      <c r="E68" s="76" t="s">
        <v>2705</v>
      </c>
      <c r="F68" s="95" t="s">
        <v>8</v>
      </c>
      <c r="G68" s="93" t="s">
        <v>702</v>
      </c>
      <c r="H68" s="78"/>
      <c r="I68" s="74"/>
    </row>
    <row r="69">
      <c r="A69" s="77">
        <v>11.0</v>
      </c>
      <c r="B69" s="78" t="s">
        <v>2714</v>
      </c>
      <c r="C69" s="78" t="s">
        <v>2715</v>
      </c>
      <c r="D69" s="78" t="s">
        <v>2716</v>
      </c>
      <c r="E69" s="78"/>
      <c r="F69" s="77" t="s">
        <v>8</v>
      </c>
      <c r="G69" s="78"/>
      <c r="H69" s="78"/>
      <c r="I69" s="74"/>
    </row>
    <row r="70">
      <c r="A70" s="77">
        <v>12.0</v>
      </c>
      <c r="B70" s="78" t="s">
        <v>2717</v>
      </c>
      <c r="C70" s="78" t="s">
        <v>2718</v>
      </c>
      <c r="D70" s="78" t="s">
        <v>2719</v>
      </c>
      <c r="E70" s="78"/>
      <c r="F70" s="77" t="s">
        <v>8</v>
      </c>
      <c r="G70" s="78"/>
      <c r="H70" s="78"/>
      <c r="I70" s="74"/>
    </row>
    <row r="71">
      <c r="A71" s="77">
        <v>13.0</v>
      </c>
      <c r="B71" s="78" t="s">
        <v>2720</v>
      </c>
      <c r="C71" s="78" t="s">
        <v>2721</v>
      </c>
      <c r="D71" s="78" t="s">
        <v>2722</v>
      </c>
      <c r="E71" s="78"/>
      <c r="F71" s="77" t="s">
        <v>8</v>
      </c>
      <c r="G71" s="78"/>
      <c r="H71" s="78"/>
      <c r="I71" s="74"/>
    </row>
    <row r="72">
      <c r="A72" s="77">
        <v>14.0</v>
      </c>
      <c r="B72" s="78" t="s">
        <v>2723</v>
      </c>
      <c r="C72" s="78" t="s">
        <v>2724</v>
      </c>
      <c r="D72" s="78" t="s">
        <v>2725</v>
      </c>
      <c r="E72" s="78"/>
      <c r="F72" s="77" t="s">
        <v>8</v>
      </c>
      <c r="G72" s="78"/>
      <c r="H72" s="78"/>
      <c r="I72" s="74"/>
    </row>
    <row r="73">
      <c r="A73" s="77">
        <v>15.0</v>
      </c>
      <c r="B73" s="148" t="s">
        <v>2726</v>
      </c>
      <c r="C73" s="148" t="s">
        <v>2727</v>
      </c>
      <c r="D73" s="78" t="s">
        <v>2725</v>
      </c>
      <c r="E73" s="148" t="s">
        <v>2728</v>
      </c>
      <c r="F73" s="95" t="s">
        <v>9</v>
      </c>
      <c r="G73" s="148"/>
      <c r="H73" s="78"/>
      <c r="I73" s="74"/>
    </row>
    <row r="74">
      <c r="A74" s="77">
        <v>16.0</v>
      </c>
      <c r="B74" s="78" t="s">
        <v>2729</v>
      </c>
      <c r="C74" s="78" t="s">
        <v>2730</v>
      </c>
      <c r="D74" s="78" t="s">
        <v>2731</v>
      </c>
      <c r="E74" s="148" t="s">
        <v>2732</v>
      </c>
      <c r="F74" s="95" t="s">
        <v>9</v>
      </c>
      <c r="G74" s="78"/>
      <c r="H74" s="78"/>
      <c r="I74" s="74"/>
    </row>
    <row r="75">
      <c r="A75" s="77">
        <v>17.0</v>
      </c>
      <c r="B75" s="78" t="s">
        <v>2733</v>
      </c>
      <c r="C75" s="78" t="s">
        <v>1207</v>
      </c>
      <c r="D75" s="78" t="s">
        <v>1208</v>
      </c>
      <c r="E75" s="78"/>
      <c r="F75" s="77" t="s">
        <v>8</v>
      </c>
      <c r="G75" s="78"/>
      <c r="H75" s="78"/>
      <c r="I75" s="74"/>
    </row>
    <row r="76">
      <c r="A76" s="77">
        <v>18.0</v>
      </c>
      <c r="B76" s="78" t="s">
        <v>2734</v>
      </c>
      <c r="C76" s="78" t="s">
        <v>2735</v>
      </c>
      <c r="D76" s="78" t="s">
        <v>2736</v>
      </c>
      <c r="E76" s="78"/>
      <c r="F76" s="77" t="s">
        <v>8</v>
      </c>
      <c r="G76" s="78"/>
      <c r="H76" s="78"/>
      <c r="I76" s="74"/>
    </row>
    <row r="77">
      <c r="A77" s="77">
        <v>19.0</v>
      </c>
      <c r="B77" s="78" t="s">
        <v>2737</v>
      </c>
      <c r="C77" s="78" t="s">
        <v>2738</v>
      </c>
      <c r="D77" s="78" t="s">
        <v>2739</v>
      </c>
      <c r="E77" s="78"/>
      <c r="F77" s="77" t="s">
        <v>8</v>
      </c>
      <c r="G77" s="78"/>
      <c r="H77" s="78"/>
      <c r="I77" s="74"/>
    </row>
    <row r="78">
      <c r="A78" s="77">
        <v>20.0</v>
      </c>
      <c r="B78" s="78" t="s">
        <v>570</v>
      </c>
      <c r="C78" s="78" t="s">
        <v>2740</v>
      </c>
      <c r="D78" s="78" t="s">
        <v>2741</v>
      </c>
      <c r="E78" s="78"/>
      <c r="F78" s="77" t="s">
        <v>8</v>
      </c>
      <c r="G78" s="78"/>
      <c r="H78" s="78"/>
      <c r="I78" s="74"/>
    </row>
    <row r="79">
      <c r="A79" s="77">
        <v>21.0</v>
      </c>
      <c r="B79" s="78" t="s">
        <v>2742</v>
      </c>
      <c r="C79" s="78" t="s">
        <v>2743</v>
      </c>
      <c r="D79" s="78" t="s">
        <v>2744</v>
      </c>
      <c r="E79" s="78"/>
      <c r="F79" s="77" t="s">
        <v>8</v>
      </c>
      <c r="G79" s="78"/>
      <c r="H79" s="78"/>
      <c r="I79" s="74"/>
    </row>
    <row r="80">
      <c r="A80" s="77">
        <v>22.0</v>
      </c>
      <c r="B80" s="78" t="s">
        <v>2745</v>
      </c>
      <c r="C80" s="78" t="s">
        <v>2746</v>
      </c>
      <c r="D80" s="78" t="s">
        <v>2747</v>
      </c>
      <c r="E80" s="78"/>
      <c r="F80" s="77" t="s">
        <v>8</v>
      </c>
      <c r="G80" s="78"/>
      <c r="H80" s="78"/>
      <c r="I80" s="74"/>
    </row>
    <row r="81">
      <c r="A81" s="77">
        <v>23.0</v>
      </c>
      <c r="B81" s="78" t="s">
        <v>2748</v>
      </c>
      <c r="C81" s="78" t="s">
        <v>2749</v>
      </c>
      <c r="D81" s="78" t="s">
        <v>2750</v>
      </c>
      <c r="E81" s="78"/>
      <c r="F81" s="77" t="s">
        <v>8</v>
      </c>
      <c r="G81" s="78"/>
      <c r="H81" s="78"/>
      <c r="I81" s="74"/>
    </row>
    <row r="82">
      <c r="A82" s="77">
        <v>24.0</v>
      </c>
      <c r="B82" s="78" t="s">
        <v>2751</v>
      </c>
      <c r="C82" s="78" t="s">
        <v>2752</v>
      </c>
      <c r="D82" s="78" t="s">
        <v>2753</v>
      </c>
      <c r="E82" s="148" t="s">
        <v>2754</v>
      </c>
      <c r="F82" s="95" t="s">
        <v>8</v>
      </c>
      <c r="G82" s="148" t="s">
        <v>1801</v>
      </c>
      <c r="H82" s="78"/>
      <c r="I82" s="74"/>
    </row>
    <row r="83" ht="15.75" customHeight="1">
      <c r="A83" s="66" t="s">
        <v>2755</v>
      </c>
      <c r="B83" s="91"/>
      <c r="C83" s="91"/>
      <c r="D83" s="91"/>
      <c r="E83" s="91"/>
      <c r="F83" s="91"/>
      <c r="G83" s="91"/>
      <c r="H83" s="67"/>
      <c r="I83" s="101"/>
    </row>
    <row r="84">
      <c r="A84" s="77">
        <v>1.0</v>
      </c>
      <c r="B84" s="78" t="s">
        <v>2756</v>
      </c>
      <c r="C84" s="78" t="s">
        <v>2757</v>
      </c>
      <c r="D84" s="78" t="s">
        <v>2758</v>
      </c>
      <c r="E84" s="78"/>
      <c r="F84" s="77" t="s">
        <v>8</v>
      </c>
      <c r="G84" s="78"/>
      <c r="H84" s="78"/>
      <c r="I84" s="74"/>
    </row>
    <row r="85">
      <c r="A85" s="77">
        <v>2.0</v>
      </c>
      <c r="B85" s="78" t="s">
        <v>2759</v>
      </c>
      <c r="C85" s="78" t="s">
        <v>2760</v>
      </c>
      <c r="D85" s="78" t="s">
        <v>2761</v>
      </c>
      <c r="E85" s="78"/>
      <c r="F85" s="77" t="s">
        <v>8</v>
      </c>
      <c r="G85" s="78"/>
      <c r="H85" s="78"/>
      <c r="I85" s="74"/>
    </row>
    <row r="86">
      <c r="A86" s="77">
        <v>3.0</v>
      </c>
      <c r="B86" s="78" t="s">
        <v>2762</v>
      </c>
      <c r="C86" s="78" t="s">
        <v>2763</v>
      </c>
      <c r="D86" s="78" t="s">
        <v>2764</v>
      </c>
      <c r="E86" s="78"/>
      <c r="F86" s="95" t="s">
        <v>8</v>
      </c>
      <c r="G86" s="78"/>
      <c r="H86" s="78"/>
      <c r="I86" s="74"/>
    </row>
    <row r="87">
      <c r="A87" s="77">
        <v>4.0</v>
      </c>
      <c r="B87" s="78" t="s">
        <v>2765</v>
      </c>
      <c r="C87" s="78" t="s">
        <v>2766</v>
      </c>
      <c r="D87" s="78" t="s">
        <v>2767</v>
      </c>
      <c r="E87" s="78"/>
      <c r="F87" s="95" t="s">
        <v>8</v>
      </c>
      <c r="G87" s="78"/>
      <c r="H87" s="78"/>
      <c r="I87" s="74"/>
    </row>
    <row r="88">
      <c r="A88" s="77">
        <v>5.0</v>
      </c>
      <c r="B88" s="78" t="s">
        <v>2768</v>
      </c>
      <c r="C88" s="78" t="s">
        <v>2769</v>
      </c>
      <c r="D88" s="78" t="s">
        <v>2770</v>
      </c>
      <c r="E88" s="78"/>
      <c r="F88" s="95" t="s">
        <v>8</v>
      </c>
      <c r="G88" s="78"/>
      <c r="H88" s="78"/>
      <c r="I88" s="74"/>
    </row>
    <row r="89">
      <c r="A89" s="77">
        <v>6.0</v>
      </c>
      <c r="B89" s="78" t="s">
        <v>2771</v>
      </c>
      <c r="C89" s="78" t="s">
        <v>2772</v>
      </c>
      <c r="D89" s="78" t="s">
        <v>2773</v>
      </c>
      <c r="E89" s="78"/>
      <c r="F89" s="77" t="s">
        <v>8</v>
      </c>
      <c r="G89" s="78"/>
      <c r="H89" s="78"/>
      <c r="I89" s="74"/>
    </row>
    <row r="90">
      <c r="A90" s="77">
        <v>7.0</v>
      </c>
      <c r="B90" s="78" t="s">
        <v>2774</v>
      </c>
      <c r="C90" s="78" t="s">
        <v>2735</v>
      </c>
      <c r="D90" s="78" t="s">
        <v>2736</v>
      </c>
      <c r="E90" s="78"/>
      <c r="F90" s="77" t="s">
        <v>8</v>
      </c>
      <c r="G90" s="78"/>
      <c r="H90" s="78"/>
      <c r="I90" s="74"/>
    </row>
    <row r="91" ht="15.75" customHeight="1">
      <c r="A91" s="66" t="s">
        <v>2775</v>
      </c>
      <c r="B91" s="91"/>
      <c r="C91" s="91"/>
      <c r="D91" s="91"/>
      <c r="E91" s="91"/>
      <c r="F91" s="91"/>
      <c r="G91" s="91"/>
      <c r="H91" s="67"/>
      <c r="I91" s="101"/>
    </row>
    <row r="92">
      <c r="A92" s="77">
        <v>1.0</v>
      </c>
      <c r="B92" s="78" t="s">
        <v>2260</v>
      </c>
      <c r="C92" s="78" t="s">
        <v>2261</v>
      </c>
      <c r="D92" s="78" t="s">
        <v>2776</v>
      </c>
      <c r="E92" s="78"/>
      <c r="F92" s="77" t="s">
        <v>8</v>
      </c>
      <c r="G92" s="78"/>
      <c r="H92" s="78"/>
      <c r="I92" s="74"/>
    </row>
    <row r="93">
      <c r="A93" s="77">
        <v>2.0</v>
      </c>
      <c r="B93" s="78" t="s">
        <v>2777</v>
      </c>
      <c r="C93" s="78" t="s">
        <v>2778</v>
      </c>
      <c r="D93" s="78" t="s">
        <v>2779</v>
      </c>
      <c r="E93" s="78"/>
      <c r="F93" s="77" t="s">
        <v>8</v>
      </c>
      <c r="G93" s="78"/>
      <c r="H93" s="78"/>
      <c r="I93" s="74"/>
    </row>
    <row r="94">
      <c r="A94" s="77">
        <v>3.0</v>
      </c>
      <c r="B94" s="78" t="s">
        <v>2780</v>
      </c>
      <c r="C94" s="78" t="s">
        <v>2781</v>
      </c>
      <c r="D94" s="78" t="s">
        <v>2782</v>
      </c>
      <c r="E94" s="78"/>
      <c r="F94" s="95" t="s">
        <v>8</v>
      </c>
      <c r="G94" s="78"/>
      <c r="H94" s="78"/>
      <c r="I94" s="74"/>
    </row>
    <row r="95">
      <c r="A95" s="77">
        <v>4.0</v>
      </c>
      <c r="B95" s="78" t="s">
        <v>2783</v>
      </c>
      <c r="C95" s="78" t="s">
        <v>2784</v>
      </c>
      <c r="D95" s="78" t="s">
        <v>2785</v>
      </c>
      <c r="E95" s="78"/>
      <c r="F95" s="95" t="s">
        <v>8</v>
      </c>
      <c r="G95" s="78"/>
      <c r="H95" s="78"/>
      <c r="I95" s="74"/>
    </row>
    <row r="96">
      <c r="A96" s="77">
        <v>5.0</v>
      </c>
      <c r="B96" s="78" t="s">
        <v>2786</v>
      </c>
      <c r="C96" s="148" t="s">
        <v>2787</v>
      </c>
      <c r="D96" s="78" t="s">
        <v>2788</v>
      </c>
      <c r="E96" s="78"/>
      <c r="F96" s="95" t="s">
        <v>8</v>
      </c>
      <c r="G96" s="78"/>
      <c r="H96" s="78"/>
      <c r="I96" s="74"/>
    </row>
    <row r="97">
      <c r="A97" s="77">
        <v>6.0</v>
      </c>
      <c r="B97" s="78" t="s">
        <v>2789</v>
      </c>
      <c r="C97" s="78" t="s">
        <v>2790</v>
      </c>
      <c r="D97" s="78" t="s">
        <v>2791</v>
      </c>
      <c r="E97" s="78"/>
      <c r="F97" s="95" t="s">
        <v>8</v>
      </c>
      <c r="G97" s="78"/>
      <c r="H97" s="78"/>
      <c r="I97" s="74"/>
    </row>
    <row r="98">
      <c r="A98" s="77">
        <v>7.0</v>
      </c>
      <c r="B98" s="78" t="s">
        <v>2792</v>
      </c>
      <c r="C98" s="78" t="s">
        <v>2793</v>
      </c>
      <c r="D98" s="78" t="s">
        <v>2794</v>
      </c>
      <c r="E98" s="78"/>
      <c r="F98" s="95" t="s">
        <v>8</v>
      </c>
      <c r="G98" s="78"/>
      <c r="H98" s="78"/>
      <c r="I98" s="74"/>
    </row>
    <row r="99">
      <c r="A99" s="77">
        <v>8.0</v>
      </c>
      <c r="B99" s="78" t="s">
        <v>2795</v>
      </c>
      <c r="C99" s="78" t="s">
        <v>2796</v>
      </c>
      <c r="D99" s="78" t="s">
        <v>2797</v>
      </c>
      <c r="E99" s="78"/>
      <c r="F99" s="95" t="s">
        <v>8</v>
      </c>
      <c r="G99" s="78"/>
      <c r="H99" s="78"/>
      <c r="I99" s="74"/>
    </row>
    <row r="100">
      <c r="A100" s="77">
        <v>9.0</v>
      </c>
      <c r="B100" s="78" t="s">
        <v>2798</v>
      </c>
      <c r="C100" s="78" t="s">
        <v>2799</v>
      </c>
      <c r="D100" s="78" t="s">
        <v>2800</v>
      </c>
      <c r="E100" s="78"/>
      <c r="F100" s="95" t="s">
        <v>8</v>
      </c>
      <c r="G100" s="78"/>
      <c r="H100" s="78"/>
      <c r="I100" s="74"/>
    </row>
    <row r="101">
      <c r="A101" s="77">
        <v>10.0</v>
      </c>
      <c r="B101" s="78" t="s">
        <v>2801</v>
      </c>
      <c r="C101" s="78" t="s">
        <v>2802</v>
      </c>
      <c r="D101" s="78" t="s">
        <v>2803</v>
      </c>
      <c r="E101" s="78"/>
      <c r="F101" s="95" t="s">
        <v>8</v>
      </c>
      <c r="G101" s="78"/>
      <c r="H101" s="78"/>
      <c r="I101" s="74"/>
    </row>
    <row r="102">
      <c r="A102" s="77">
        <v>11.0</v>
      </c>
      <c r="B102" s="78" t="s">
        <v>2804</v>
      </c>
      <c r="C102" s="148" t="s">
        <v>2805</v>
      </c>
      <c r="D102" s="78" t="s">
        <v>2806</v>
      </c>
      <c r="E102" s="78"/>
      <c r="F102" s="95" t="s">
        <v>8</v>
      </c>
      <c r="G102" s="78"/>
      <c r="H102" s="78"/>
      <c r="I102" s="74"/>
    </row>
    <row r="103">
      <c r="A103" s="77">
        <v>12.0</v>
      </c>
      <c r="B103" s="78" t="s">
        <v>2807</v>
      </c>
      <c r="C103" s="148" t="s">
        <v>2808</v>
      </c>
      <c r="D103" s="78" t="s">
        <v>2809</v>
      </c>
      <c r="E103" s="78"/>
      <c r="F103" s="95" t="s">
        <v>8</v>
      </c>
      <c r="G103" s="78"/>
      <c r="H103" s="78"/>
      <c r="I103" s="74"/>
    </row>
    <row r="104">
      <c r="A104" s="77">
        <v>13.0</v>
      </c>
      <c r="B104" s="78" t="s">
        <v>2810</v>
      </c>
      <c r="C104" s="78" t="s">
        <v>2811</v>
      </c>
      <c r="D104" s="78" t="s">
        <v>2812</v>
      </c>
      <c r="E104" s="78"/>
      <c r="F104" s="95" t="s">
        <v>8</v>
      </c>
      <c r="G104" s="78"/>
      <c r="H104" s="78"/>
      <c r="I104" s="74"/>
    </row>
    <row r="105" ht="15.75" customHeight="1">
      <c r="A105" s="66" t="s">
        <v>2813</v>
      </c>
      <c r="B105" s="91"/>
      <c r="C105" s="91"/>
      <c r="D105" s="91"/>
      <c r="E105" s="91"/>
      <c r="F105" s="91"/>
      <c r="G105" s="91"/>
      <c r="H105" s="67"/>
      <c r="I105" s="101"/>
    </row>
    <row r="106">
      <c r="A106" s="77">
        <v>1.0</v>
      </c>
      <c r="B106" s="78" t="s">
        <v>2814</v>
      </c>
      <c r="C106" s="78" t="s">
        <v>2815</v>
      </c>
      <c r="D106" s="78" t="s">
        <v>2816</v>
      </c>
      <c r="E106" s="78"/>
      <c r="F106" s="77" t="s">
        <v>8</v>
      </c>
      <c r="G106" s="78"/>
      <c r="H106" s="78"/>
      <c r="I106" s="74"/>
    </row>
    <row r="107">
      <c r="A107" s="77">
        <v>2.0</v>
      </c>
      <c r="B107" s="78" t="s">
        <v>2817</v>
      </c>
      <c r="C107" s="78" t="s">
        <v>2818</v>
      </c>
      <c r="D107" s="78" t="s">
        <v>2819</v>
      </c>
      <c r="E107" s="78"/>
      <c r="F107" s="77" t="s">
        <v>8</v>
      </c>
      <c r="G107" s="78"/>
      <c r="H107" s="78"/>
      <c r="I107" s="74"/>
    </row>
    <row r="108">
      <c r="A108" s="77">
        <v>3.0</v>
      </c>
      <c r="B108" s="78" t="s">
        <v>2820</v>
      </c>
      <c r="C108" s="78" t="s">
        <v>2821</v>
      </c>
      <c r="D108" s="78" t="s">
        <v>2822</v>
      </c>
      <c r="E108" s="78"/>
      <c r="F108" s="77" t="s">
        <v>8</v>
      </c>
      <c r="G108" s="78"/>
      <c r="H108" s="78"/>
      <c r="I108" s="74"/>
    </row>
    <row r="109">
      <c r="A109" s="77">
        <v>4.0</v>
      </c>
      <c r="B109" s="78" t="s">
        <v>2823</v>
      </c>
      <c r="C109" s="78" t="s">
        <v>1683</v>
      </c>
      <c r="D109" s="78" t="s">
        <v>2824</v>
      </c>
      <c r="E109" s="78"/>
      <c r="F109" s="77" t="s">
        <v>8</v>
      </c>
      <c r="G109" s="78"/>
      <c r="H109" s="78"/>
      <c r="I109" s="74"/>
    </row>
    <row r="110">
      <c r="A110" s="77">
        <v>5.0</v>
      </c>
      <c r="B110" s="78" t="s">
        <v>2825</v>
      </c>
      <c r="C110" s="78" t="s">
        <v>2826</v>
      </c>
      <c r="D110" s="78" t="s">
        <v>2827</v>
      </c>
      <c r="E110" s="78"/>
      <c r="F110" s="77" t="s">
        <v>8</v>
      </c>
      <c r="G110" s="78"/>
      <c r="H110" s="78"/>
      <c r="I110" s="74"/>
    </row>
    <row r="111">
      <c r="A111" s="77">
        <v>6.0</v>
      </c>
      <c r="B111" s="78" t="s">
        <v>570</v>
      </c>
      <c r="C111" s="78" t="s">
        <v>2828</v>
      </c>
      <c r="D111" s="78" t="s">
        <v>2741</v>
      </c>
      <c r="E111" s="78"/>
      <c r="F111" s="77" t="s">
        <v>8</v>
      </c>
      <c r="G111" s="78"/>
      <c r="H111" s="78"/>
      <c r="I111" s="74"/>
    </row>
    <row r="112" ht="15.75" customHeight="1">
      <c r="A112" s="66" t="s">
        <v>2829</v>
      </c>
      <c r="B112" s="91"/>
      <c r="C112" s="91"/>
      <c r="D112" s="67"/>
      <c r="E112" s="79"/>
      <c r="F112" s="103"/>
      <c r="G112" s="80"/>
      <c r="H112" s="80"/>
      <c r="I112" s="80"/>
    </row>
    <row r="113">
      <c r="A113" s="77">
        <v>1.0</v>
      </c>
      <c r="B113" s="78" t="s">
        <v>2830</v>
      </c>
      <c r="C113" s="78" t="s">
        <v>2831</v>
      </c>
      <c r="D113" s="78" t="s">
        <v>2832</v>
      </c>
      <c r="E113" s="78"/>
      <c r="F113" s="77" t="s">
        <v>8</v>
      </c>
      <c r="G113" s="78"/>
      <c r="H113" s="78"/>
      <c r="I113" s="74"/>
    </row>
    <row r="114">
      <c r="A114" s="77">
        <v>2.0</v>
      </c>
      <c r="B114" s="78" t="s">
        <v>2833</v>
      </c>
      <c r="C114" s="78" t="s">
        <v>1683</v>
      </c>
      <c r="D114" s="78" t="s">
        <v>2834</v>
      </c>
      <c r="E114" s="78"/>
      <c r="F114" s="77" t="s">
        <v>8</v>
      </c>
      <c r="G114" s="78"/>
      <c r="H114" s="78"/>
      <c r="I114" s="74"/>
    </row>
    <row r="115">
      <c r="A115" s="77">
        <v>3.0</v>
      </c>
      <c r="B115" s="78" t="s">
        <v>2835</v>
      </c>
      <c r="C115" s="78" t="s">
        <v>2826</v>
      </c>
      <c r="D115" s="78" t="s">
        <v>2836</v>
      </c>
      <c r="E115" s="78"/>
      <c r="F115" s="77" t="s">
        <v>8</v>
      </c>
      <c r="G115" s="78"/>
      <c r="H115" s="78"/>
      <c r="I115" s="74"/>
    </row>
    <row r="116">
      <c r="A116" s="77">
        <v>4.0</v>
      </c>
      <c r="B116" s="78" t="s">
        <v>570</v>
      </c>
      <c r="C116" s="78" t="s">
        <v>2837</v>
      </c>
      <c r="D116" s="78" t="s">
        <v>2741</v>
      </c>
      <c r="E116" s="78"/>
      <c r="F116" s="77" t="s">
        <v>8</v>
      </c>
      <c r="G116" s="78"/>
      <c r="H116" s="78"/>
      <c r="I116" s="74"/>
    </row>
    <row r="117" ht="15.75" customHeight="1">
      <c r="A117" s="66" t="s">
        <v>39</v>
      </c>
      <c r="B117" s="91"/>
      <c r="C117" s="91"/>
      <c r="D117" s="67"/>
      <c r="E117" s="79"/>
      <c r="F117" s="103"/>
      <c r="G117" s="80"/>
      <c r="H117" s="80"/>
      <c r="I117" s="80"/>
    </row>
    <row r="118">
      <c r="A118" s="77">
        <v>1.0</v>
      </c>
      <c r="B118" s="78" t="s">
        <v>2838</v>
      </c>
      <c r="C118" s="78" t="s">
        <v>2839</v>
      </c>
      <c r="D118" s="78" t="s">
        <v>2840</v>
      </c>
      <c r="E118" s="78"/>
      <c r="F118" s="77" t="s">
        <v>8</v>
      </c>
      <c r="G118" s="78"/>
      <c r="H118" s="78"/>
      <c r="I118" s="74"/>
    </row>
    <row r="119">
      <c r="A119" s="77">
        <v>2.0</v>
      </c>
      <c r="B119" s="78" t="s">
        <v>2841</v>
      </c>
      <c r="C119" s="78" t="s">
        <v>2842</v>
      </c>
      <c r="D119" s="78" t="s">
        <v>2843</v>
      </c>
      <c r="E119" s="78"/>
      <c r="F119" s="77" t="s">
        <v>8</v>
      </c>
      <c r="G119" s="78"/>
      <c r="H119" s="78"/>
      <c r="I119" s="74"/>
    </row>
    <row r="120">
      <c r="A120" s="77">
        <v>3.0</v>
      </c>
      <c r="B120" s="78" t="s">
        <v>2844</v>
      </c>
      <c r="C120" s="78" t="s">
        <v>2845</v>
      </c>
      <c r="D120" s="78" t="s">
        <v>2846</v>
      </c>
      <c r="E120" s="78"/>
      <c r="F120" s="77" t="s">
        <v>8</v>
      </c>
      <c r="G120" s="78"/>
      <c r="H120" s="78"/>
      <c r="I120" s="74"/>
    </row>
    <row r="121">
      <c r="A121" s="77">
        <v>4.0</v>
      </c>
      <c r="B121" s="78" t="s">
        <v>2847</v>
      </c>
      <c r="C121" s="78" t="s">
        <v>2848</v>
      </c>
      <c r="D121" s="78" t="s">
        <v>2849</v>
      </c>
      <c r="E121" s="78"/>
      <c r="F121" s="77" t="s">
        <v>8</v>
      </c>
      <c r="G121" s="78"/>
      <c r="H121" s="78"/>
      <c r="I121" s="74"/>
    </row>
    <row r="122">
      <c r="A122" s="77">
        <v>5.0</v>
      </c>
      <c r="B122" s="78" t="s">
        <v>2850</v>
      </c>
      <c r="C122" s="78" t="s">
        <v>2851</v>
      </c>
      <c r="D122" s="78" t="s">
        <v>2852</v>
      </c>
      <c r="E122" s="78"/>
      <c r="F122" s="77" t="s">
        <v>8</v>
      </c>
      <c r="G122" s="78"/>
      <c r="H122" s="78"/>
      <c r="I122" s="74"/>
    </row>
    <row r="123">
      <c r="A123" s="77">
        <v>6.0</v>
      </c>
      <c r="B123" s="78" t="s">
        <v>2853</v>
      </c>
      <c r="C123" s="78" t="s">
        <v>2854</v>
      </c>
      <c r="D123" s="78" t="s">
        <v>2855</v>
      </c>
      <c r="E123" s="78"/>
      <c r="F123" s="77" t="s">
        <v>8</v>
      </c>
      <c r="G123" s="78"/>
      <c r="H123" s="78"/>
      <c r="I123" s="74"/>
    </row>
    <row r="124">
      <c r="A124" s="77">
        <v>7.0</v>
      </c>
      <c r="B124" s="78" t="s">
        <v>2856</v>
      </c>
      <c r="C124" s="78" t="s">
        <v>2857</v>
      </c>
      <c r="D124" s="78" t="s">
        <v>2858</v>
      </c>
      <c r="E124" s="78"/>
      <c r="F124" s="77" t="s">
        <v>8</v>
      </c>
      <c r="G124" s="78"/>
      <c r="H124" s="78"/>
      <c r="I124" s="74"/>
    </row>
    <row r="125">
      <c r="A125" s="77">
        <v>8.0</v>
      </c>
      <c r="B125" s="78" t="s">
        <v>2859</v>
      </c>
      <c r="C125" s="78" t="s">
        <v>2860</v>
      </c>
      <c r="D125" s="78" t="s">
        <v>2861</v>
      </c>
      <c r="E125" s="78"/>
      <c r="F125" s="77" t="s">
        <v>8</v>
      </c>
      <c r="G125" s="78"/>
      <c r="H125" s="78"/>
      <c r="I125" s="74"/>
    </row>
    <row r="126">
      <c r="A126" s="77">
        <v>9.0</v>
      </c>
      <c r="B126" s="78" t="s">
        <v>2862</v>
      </c>
      <c r="C126" s="78" t="s">
        <v>2863</v>
      </c>
      <c r="D126" s="78" t="s">
        <v>2864</v>
      </c>
      <c r="E126" s="78"/>
      <c r="F126" s="77" t="s">
        <v>8</v>
      </c>
      <c r="G126" s="78"/>
      <c r="H126" s="78"/>
      <c r="I126" s="74"/>
    </row>
    <row r="127">
      <c r="A127" s="77">
        <v>10.0</v>
      </c>
      <c r="B127" s="78" t="s">
        <v>2865</v>
      </c>
      <c r="C127" s="78" t="s">
        <v>2866</v>
      </c>
      <c r="D127" s="78" t="s">
        <v>2867</v>
      </c>
      <c r="E127" s="78"/>
      <c r="F127" s="77" t="s">
        <v>8</v>
      </c>
      <c r="G127" s="78"/>
      <c r="H127" s="78"/>
      <c r="I127" s="74"/>
    </row>
    <row r="128">
      <c r="A128" s="77">
        <v>11.0</v>
      </c>
      <c r="B128" s="78" t="s">
        <v>2868</v>
      </c>
      <c r="C128" s="78" t="s">
        <v>2869</v>
      </c>
      <c r="D128" s="78" t="s">
        <v>2870</v>
      </c>
      <c r="E128" s="78"/>
      <c r="F128" s="77" t="s">
        <v>8</v>
      </c>
      <c r="G128" s="78"/>
      <c r="H128" s="78"/>
      <c r="I128" s="74"/>
    </row>
    <row r="129">
      <c r="A129" s="77">
        <v>12.0</v>
      </c>
      <c r="B129" s="78" t="s">
        <v>2871</v>
      </c>
      <c r="C129" s="78" t="s">
        <v>2872</v>
      </c>
      <c r="D129" s="78" t="s">
        <v>2873</v>
      </c>
      <c r="E129" s="78"/>
      <c r="F129" s="77" t="s">
        <v>8</v>
      </c>
      <c r="G129" s="78"/>
      <c r="H129" s="78"/>
      <c r="I129" s="74"/>
    </row>
    <row r="130">
      <c r="A130" s="77">
        <v>13.0</v>
      </c>
      <c r="B130" s="78" t="s">
        <v>2874</v>
      </c>
      <c r="C130" s="148" t="s">
        <v>2875</v>
      </c>
      <c r="D130" s="78" t="s">
        <v>2876</v>
      </c>
      <c r="E130" s="78"/>
      <c r="F130" s="77" t="s">
        <v>8</v>
      </c>
      <c r="G130" s="78"/>
      <c r="H130" s="78"/>
      <c r="I130" s="74"/>
    </row>
    <row r="131">
      <c r="A131" s="77">
        <v>14.0</v>
      </c>
      <c r="B131" s="78" t="s">
        <v>2877</v>
      </c>
      <c r="C131" s="78" t="s">
        <v>2878</v>
      </c>
      <c r="D131" s="78" t="s">
        <v>2879</v>
      </c>
      <c r="E131" s="78"/>
      <c r="F131" s="77" t="s">
        <v>8</v>
      </c>
      <c r="G131" s="78"/>
      <c r="H131" s="78"/>
      <c r="I131" s="74"/>
    </row>
    <row r="132">
      <c r="A132" s="77">
        <v>15.0</v>
      </c>
      <c r="B132" s="78" t="s">
        <v>2880</v>
      </c>
      <c r="C132" s="78" t="s">
        <v>2881</v>
      </c>
      <c r="D132" s="78" t="s">
        <v>2882</v>
      </c>
      <c r="E132" s="78"/>
      <c r="F132" s="77" t="s">
        <v>8</v>
      </c>
      <c r="G132" s="78"/>
      <c r="H132" s="78"/>
      <c r="I132" s="74"/>
    </row>
    <row r="133">
      <c r="A133" s="77">
        <v>16.0</v>
      </c>
      <c r="B133" s="78" t="s">
        <v>2883</v>
      </c>
      <c r="C133" s="78" t="s">
        <v>2884</v>
      </c>
      <c r="D133" s="78" t="s">
        <v>2885</v>
      </c>
      <c r="E133" s="78"/>
      <c r="F133" s="77" t="s">
        <v>8</v>
      </c>
      <c r="G133" s="78"/>
      <c r="H133" s="78"/>
      <c r="I133" s="74"/>
    </row>
    <row r="134">
      <c r="A134" s="77">
        <v>17.0</v>
      </c>
      <c r="B134" s="78" t="s">
        <v>2886</v>
      </c>
      <c r="C134" s="78" t="s">
        <v>2735</v>
      </c>
      <c r="D134" s="78" t="s">
        <v>2736</v>
      </c>
      <c r="E134" s="78"/>
      <c r="F134" s="77" t="s">
        <v>8</v>
      </c>
      <c r="G134" s="78"/>
      <c r="H134" s="78"/>
      <c r="I134" s="74"/>
    </row>
    <row r="135">
      <c r="A135" s="77">
        <v>18.0</v>
      </c>
      <c r="B135" s="78" t="s">
        <v>682</v>
      </c>
      <c r="C135" s="78" t="s">
        <v>2887</v>
      </c>
      <c r="D135" s="78" t="s">
        <v>2888</v>
      </c>
      <c r="E135" s="78"/>
      <c r="F135" s="77" t="s">
        <v>8</v>
      </c>
      <c r="G135" s="78"/>
      <c r="H135" s="78"/>
      <c r="I135" s="74"/>
    </row>
    <row r="136">
      <c r="A136" s="77">
        <v>19.0</v>
      </c>
      <c r="B136" s="78" t="s">
        <v>2889</v>
      </c>
      <c r="C136" s="78" t="s">
        <v>2890</v>
      </c>
      <c r="D136" s="78" t="s">
        <v>2891</v>
      </c>
      <c r="E136" s="78"/>
      <c r="F136" s="77" t="s">
        <v>8</v>
      </c>
      <c r="G136" s="78"/>
      <c r="H136" s="78"/>
      <c r="I136" s="74"/>
    </row>
    <row r="137">
      <c r="A137" s="77">
        <v>20.0</v>
      </c>
      <c r="B137" s="78" t="s">
        <v>570</v>
      </c>
      <c r="C137" s="78" t="s">
        <v>2892</v>
      </c>
      <c r="D137" s="78" t="s">
        <v>2741</v>
      </c>
      <c r="E137" s="78"/>
      <c r="F137" s="77" t="s">
        <v>8</v>
      </c>
      <c r="G137" s="78"/>
      <c r="H137" s="78"/>
      <c r="I137" s="74"/>
    </row>
    <row r="138" ht="15.75" customHeight="1">
      <c r="A138" s="66" t="s">
        <v>42</v>
      </c>
      <c r="B138" s="91"/>
      <c r="C138" s="91"/>
      <c r="D138" s="67"/>
      <c r="E138" s="79"/>
      <c r="F138" s="103"/>
      <c r="G138" s="80"/>
      <c r="H138" s="80"/>
      <c r="I138" s="80"/>
    </row>
    <row r="139">
      <c r="A139" s="77">
        <v>1.0</v>
      </c>
      <c r="B139" s="78" t="s">
        <v>2893</v>
      </c>
      <c r="C139" s="78" t="s">
        <v>2894</v>
      </c>
      <c r="D139" s="78" t="s">
        <v>2895</v>
      </c>
      <c r="E139" s="78"/>
      <c r="F139" s="77" t="s">
        <v>8</v>
      </c>
      <c r="G139" s="78"/>
      <c r="H139" s="78"/>
      <c r="I139" s="74"/>
    </row>
    <row r="140">
      <c r="A140" s="77">
        <v>2.0</v>
      </c>
      <c r="B140" s="78" t="s">
        <v>2896</v>
      </c>
      <c r="C140" s="78" t="s">
        <v>2897</v>
      </c>
      <c r="D140" s="78" t="s">
        <v>2898</v>
      </c>
      <c r="E140" s="78"/>
      <c r="F140" s="77" t="s">
        <v>8</v>
      </c>
      <c r="G140" s="78"/>
      <c r="H140" s="78"/>
      <c r="I140" s="74"/>
    </row>
    <row r="141">
      <c r="A141" s="77">
        <v>3.0</v>
      </c>
      <c r="B141" s="78" t="s">
        <v>2844</v>
      </c>
      <c r="C141" s="78" t="s">
        <v>2899</v>
      </c>
      <c r="D141" s="78" t="s">
        <v>2900</v>
      </c>
      <c r="E141" s="78"/>
      <c r="F141" s="77" t="s">
        <v>8</v>
      </c>
      <c r="G141" s="78"/>
      <c r="H141" s="78"/>
      <c r="I141" s="74"/>
    </row>
    <row r="142">
      <c r="A142" s="77">
        <v>4.0</v>
      </c>
      <c r="B142" s="78" t="s">
        <v>2901</v>
      </c>
      <c r="C142" s="78" t="s">
        <v>2902</v>
      </c>
      <c r="D142" s="78" t="s">
        <v>2619</v>
      </c>
      <c r="E142" s="78"/>
      <c r="F142" s="77" t="s">
        <v>8</v>
      </c>
      <c r="G142" s="78"/>
      <c r="H142" s="78"/>
      <c r="I142" s="74"/>
    </row>
    <row r="143">
      <c r="A143" s="77">
        <v>5.0</v>
      </c>
      <c r="B143" s="78" t="s">
        <v>2903</v>
      </c>
      <c r="C143" s="78" t="s">
        <v>2904</v>
      </c>
      <c r="D143" s="78" t="s">
        <v>2905</v>
      </c>
      <c r="E143" s="78"/>
      <c r="F143" s="77" t="s">
        <v>8</v>
      </c>
      <c r="G143" s="78"/>
      <c r="H143" s="78"/>
      <c r="I143" s="74"/>
    </row>
    <row r="144">
      <c r="A144" s="77">
        <v>6.0</v>
      </c>
      <c r="B144" s="78" t="s">
        <v>2906</v>
      </c>
      <c r="C144" s="78" t="s">
        <v>2907</v>
      </c>
      <c r="D144" s="78" t="s">
        <v>2908</v>
      </c>
      <c r="E144" s="78"/>
      <c r="F144" s="77" t="s">
        <v>8</v>
      </c>
      <c r="G144" s="78"/>
      <c r="H144" s="78"/>
      <c r="I144" s="74"/>
    </row>
    <row r="145">
      <c r="A145" s="77">
        <v>7.0</v>
      </c>
      <c r="B145" s="78" t="s">
        <v>2909</v>
      </c>
      <c r="C145" s="78" t="s">
        <v>2910</v>
      </c>
      <c r="D145" s="78" t="s">
        <v>2911</v>
      </c>
      <c r="E145" s="78"/>
      <c r="F145" s="77" t="s">
        <v>8</v>
      </c>
      <c r="G145" s="78"/>
      <c r="H145" s="78"/>
      <c r="I145" s="74"/>
    </row>
    <row r="146">
      <c r="A146" s="77">
        <v>8.0</v>
      </c>
      <c r="B146" s="78" t="s">
        <v>2912</v>
      </c>
      <c r="C146" s="78" t="s">
        <v>2913</v>
      </c>
      <c r="D146" s="78" t="s">
        <v>2914</v>
      </c>
      <c r="E146" s="78"/>
      <c r="F146" s="77" t="s">
        <v>8</v>
      </c>
      <c r="G146" s="78"/>
      <c r="H146" s="78"/>
      <c r="I146" s="74"/>
    </row>
    <row r="147">
      <c r="A147" s="77">
        <v>9.0</v>
      </c>
      <c r="B147" s="78" t="s">
        <v>2915</v>
      </c>
      <c r="C147" s="78" t="s">
        <v>2916</v>
      </c>
      <c r="D147" s="78" t="s">
        <v>2917</v>
      </c>
      <c r="E147" s="78"/>
      <c r="F147" s="95" t="s">
        <v>8</v>
      </c>
      <c r="G147" s="78"/>
      <c r="H147" s="78"/>
      <c r="I147" s="74"/>
    </row>
    <row r="148">
      <c r="A148" s="77">
        <v>10.0</v>
      </c>
      <c r="B148" s="78" t="s">
        <v>2918</v>
      </c>
      <c r="C148" s="78" t="s">
        <v>2919</v>
      </c>
      <c r="D148" s="78" t="s">
        <v>2920</v>
      </c>
      <c r="E148" s="78"/>
      <c r="F148" s="95" t="s">
        <v>8</v>
      </c>
      <c r="G148" s="78"/>
      <c r="H148" s="78"/>
      <c r="I148" s="74"/>
    </row>
    <row r="149">
      <c r="A149" s="77">
        <v>11.0</v>
      </c>
      <c r="B149" s="78" t="s">
        <v>570</v>
      </c>
      <c r="C149" s="78" t="s">
        <v>2921</v>
      </c>
      <c r="D149" s="78" t="s">
        <v>2741</v>
      </c>
      <c r="E149" s="78"/>
      <c r="F149" s="95" t="s">
        <v>8</v>
      </c>
      <c r="G149" s="78"/>
      <c r="H149" s="78"/>
      <c r="I149" s="74"/>
    </row>
    <row r="150" ht="15.75" customHeight="1">
      <c r="A150" s="66" t="s">
        <v>45</v>
      </c>
      <c r="B150" s="91"/>
      <c r="C150" s="91"/>
      <c r="D150" s="67"/>
      <c r="E150" s="79"/>
      <c r="F150" s="103"/>
      <c r="G150" s="80"/>
      <c r="H150" s="80"/>
      <c r="I150" s="80"/>
    </row>
    <row r="151">
      <c r="A151" s="77">
        <v>1.0</v>
      </c>
      <c r="B151" s="78" t="s">
        <v>2922</v>
      </c>
      <c r="C151" s="78" t="s">
        <v>2923</v>
      </c>
      <c r="D151" s="78" t="s">
        <v>2346</v>
      </c>
      <c r="E151" s="78"/>
      <c r="F151" s="77" t="s">
        <v>8</v>
      </c>
      <c r="G151" s="78"/>
      <c r="H151" s="78"/>
      <c r="I151" s="74"/>
    </row>
    <row r="152">
      <c r="A152" s="77">
        <v>2.0</v>
      </c>
      <c r="B152" s="78" t="s">
        <v>2924</v>
      </c>
      <c r="C152" s="78" t="s">
        <v>2925</v>
      </c>
      <c r="D152" s="78" t="s">
        <v>2926</v>
      </c>
      <c r="E152" s="78"/>
      <c r="F152" s="77" t="s">
        <v>8</v>
      </c>
      <c r="G152" s="78"/>
      <c r="H152" s="78"/>
      <c r="I152" s="74"/>
    </row>
    <row r="153">
      <c r="A153" s="77">
        <v>3.0</v>
      </c>
      <c r="B153" s="78" t="s">
        <v>2927</v>
      </c>
      <c r="C153" s="78" t="s">
        <v>2928</v>
      </c>
      <c r="D153" s="78" t="s">
        <v>2929</v>
      </c>
      <c r="E153" s="78"/>
      <c r="F153" s="77" t="s">
        <v>8</v>
      </c>
      <c r="G153" s="78"/>
      <c r="H153" s="78"/>
      <c r="I153" s="74"/>
    </row>
    <row r="154">
      <c r="A154" s="77">
        <v>4.0</v>
      </c>
      <c r="B154" s="78" t="s">
        <v>2930</v>
      </c>
      <c r="C154" s="78" t="s">
        <v>2931</v>
      </c>
      <c r="D154" s="78" t="s">
        <v>2932</v>
      </c>
      <c r="E154" s="78"/>
      <c r="F154" s="95" t="s">
        <v>8</v>
      </c>
      <c r="G154" s="78"/>
      <c r="H154" s="78"/>
      <c r="I154" s="74"/>
    </row>
    <row r="155">
      <c r="A155" s="77">
        <v>5.0</v>
      </c>
      <c r="B155" s="78" t="s">
        <v>2933</v>
      </c>
      <c r="C155" s="78" t="s">
        <v>2934</v>
      </c>
      <c r="D155" s="78" t="s">
        <v>2935</v>
      </c>
      <c r="E155" s="78"/>
      <c r="F155" s="95" t="s">
        <v>8</v>
      </c>
      <c r="G155" s="78"/>
      <c r="H155" s="78"/>
      <c r="I155" s="74"/>
    </row>
    <row r="156">
      <c r="A156" s="77">
        <v>6.0</v>
      </c>
      <c r="B156" s="78" t="s">
        <v>2936</v>
      </c>
      <c r="C156" s="78" t="s">
        <v>2937</v>
      </c>
      <c r="D156" s="78" t="s">
        <v>2938</v>
      </c>
      <c r="E156" s="78"/>
      <c r="F156" s="95" t="s">
        <v>8</v>
      </c>
      <c r="G156" s="78"/>
      <c r="H156" s="78"/>
      <c r="I156" s="74"/>
    </row>
    <row r="157">
      <c r="A157" s="77">
        <v>7.0</v>
      </c>
      <c r="B157" s="148" t="s">
        <v>2939</v>
      </c>
      <c r="C157" s="148" t="s">
        <v>2940</v>
      </c>
      <c r="D157" s="148" t="s">
        <v>2941</v>
      </c>
      <c r="E157" s="78"/>
      <c r="F157" s="95" t="s">
        <v>8</v>
      </c>
      <c r="G157" s="78"/>
      <c r="H157" s="78"/>
      <c r="I157" s="74"/>
    </row>
    <row r="158">
      <c r="A158" s="77">
        <v>8.0</v>
      </c>
      <c r="B158" s="78" t="s">
        <v>2942</v>
      </c>
      <c r="C158" s="78" t="s">
        <v>2943</v>
      </c>
      <c r="D158" s="78" t="s">
        <v>2944</v>
      </c>
      <c r="E158" s="78"/>
      <c r="F158" s="95" t="s">
        <v>8</v>
      </c>
      <c r="G158" s="78"/>
      <c r="H158" s="78"/>
      <c r="I158" s="74"/>
    </row>
    <row r="159">
      <c r="A159" s="77">
        <v>9.0</v>
      </c>
      <c r="B159" s="78" t="s">
        <v>2945</v>
      </c>
      <c r="C159" s="78" t="s">
        <v>2362</v>
      </c>
      <c r="D159" s="78" t="s">
        <v>2946</v>
      </c>
      <c r="E159" s="74"/>
      <c r="F159" s="95" t="s">
        <v>8</v>
      </c>
      <c r="G159" s="74"/>
      <c r="H159" s="74"/>
      <c r="I159" s="74"/>
    </row>
    <row r="160">
      <c r="A160" s="77">
        <v>10.0</v>
      </c>
      <c r="B160" s="78" t="s">
        <v>2947</v>
      </c>
      <c r="C160" s="78" t="s">
        <v>2948</v>
      </c>
      <c r="D160" s="78" t="s">
        <v>2949</v>
      </c>
      <c r="E160" s="74"/>
      <c r="F160" s="95" t="s">
        <v>8</v>
      </c>
      <c r="G160" s="74"/>
      <c r="H160" s="74"/>
      <c r="I160" s="74"/>
    </row>
    <row r="161">
      <c r="A161" s="77">
        <v>11.0</v>
      </c>
      <c r="B161" s="78" t="s">
        <v>2950</v>
      </c>
      <c r="C161" s="78" t="s">
        <v>2951</v>
      </c>
      <c r="D161" s="78" t="s">
        <v>2952</v>
      </c>
      <c r="E161" s="74"/>
      <c r="F161" s="95" t="s">
        <v>8</v>
      </c>
      <c r="G161" s="74"/>
      <c r="H161" s="74"/>
      <c r="I161" s="74"/>
    </row>
    <row r="162">
      <c r="A162" s="77">
        <v>12.0</v>
      </c>
      <c r="B162" s="78" t="s">
        <v>2953</v>
      </c>
      <c r="C162" s="78" t="s">
        <v>2954</v>
      </c>
      <c r="D162" s="78" t="s">
        <v>2955</v>
      </c>
      <c r="E162" s="74"/>
      <c r="F162" s="95" t="s">
        <v>8</v>
      </c>
      <c r="G162" s="74"/>
      <c r="H162" s="74"/>
      <c r="I162" s="74"/>
    </row>
    <row r="163">
      <c r="A163" s="77">
        <v>13.0</v>
      </c>
      <c r="B163" s="78" t="s">
        <v>2956</v>
      </c>
      <c r="C163" s="78" t="s">
        <v>2957</v>
      </c>
      <c r="D163" s="78" t="s">
        <v>2958</v>
      </c>
      <c r="E163" s="74"/>
      <c r="F163" s="95" t="s">
        <v>8</v>
      </c>
      <c r="G163" s="74"/>
      <c r="H163" s="74"/>
      <c r="I163" s="74"/>
    </row>
    <row r="164">
      <c r="A164" s="77">
        <v>14.0</v>
      </c>
      <c r="B164" s="78" t="s">
        <v>2959</v>
      </c>
      <c r="C164" s="78" t="s">
        <v>2960</v>
      </c>
      <c r="D164" s="78" t="s">
        <v>2961</v>
      </c>
      <c r="E164" s="74"/>
      <c r="F164" s="77" t="s">
        <v>7</v>
      </c>
      <c r="G164" s="74"/>
      <c r="H164" s="74"/>
      <c r="I164" s="74"/>
    </row>
    <row r="165">
      <c r="A165" s="77">
        <v>15.0</v>
      </c>
      <c r="B165" s="78" t="s">
        <v>2962</v>
      </c>
      <c r="C165" s="78" t="s">
        <v>2963</v>
      </c>
      <c r="D165" s="78" t="s">
        <v>2964</v>
      </c>
      <c r="E165" s="74"/>
      <c r="F165" s="95" t="s">
        <v>8</v>
      </c>
      <c r="G165" s="74"/>
      <c r="H165" s="74"/>
      <c r="I165" s="74"/>
    </row>
    <row r="166">
      <c r="A166" s="77">
        <v>16.0</v>
      </c>
      <c r="B166" s="78" t="s">
        <v>2965</v>
      </c>
      <c r="C166" s="78" t="s">
        <v>2966</v>
      </c>
      <c r="D166" s="78" t="s">
        <v>2967</v>
      </c>
      <c r="E166" s="74"/>
      <c r="F166" s="95" t="s">
        <v>8</v>
      </c>
      <c r="G166" s="74"/>
      <c r="H166" s="74"/>
      <c r="I166" s="74"/>
    </row>
    <row r="167">
      <c r="A167" s="77">
        <v>17.0</v>
      </c>
      <c r="B167" s="148" t="s">
        <v>2968</v>
      </c>
      <c r="C167" s="78" t="s">
        <v>2969</v>
      </c>
      <c r="D167" s="78" t="s">
        <v>2970</v>
      </c>
      <c r="E167" s="74"/>
      <c r="F167" s="95" t="s">
        <v>8</v>
      </c>
      <c r="G167" s="74"/>
      <c r="H167" s="74"/>
      <c r="I167" s="74"/>
    </row>
    <row r="168">
      <c r="A168" s="77">
        <v>18.0</v>
      </c>
      <c r="B168" s="78" t="s">
        <v>2971</v>
      </c>
      <c r="C168" s="78" t="s">
        <v>2972</v>
      </c>
      <c r="D168" s="78" t="s">
        <v>2973</v>
      </c>
      <c r="E168" s="74"/>
      <c r="F168" s="95" t="s">
        <v>8</v>
      </c>
      <c r="G168" s="74"/>
      <c r="H168" s="74"/>
      <c r="I168" s="74"/>
    </row>
    <row r="169">
      <c r="A169" s="77">
        <v>19.0</v>
      </c>
      <c r="B169" s="78" t="s">
        <v>2974</v>
      </c>
      <c r="C169" s="78" t="s">
        <v>2975</v>
      </c>
      <c r="D169" s="78" t="s">
        <v>2976</v>
      </c>
      <c r="E169" s="74"/>
      <c r="F169" s="95" t="s">
        <v>8</v>
      </c>
      <c r="G169" s="74"/>
      <c r="H169" s="74"/>
      <c r="I169" s="74"/>
    </row>
    <row r="170" ht="15.75" customHeight="1">
      <c r="A170" s="66" t="s">
        <v>2977</v>
      </c>
      <c r="B170" s="91"/>
      <c r="C170" s="91"/>
      <c r="D170" s="67"/>
      <c r="E170" s="79"/>
      <c r="F170" s="103"/>
      <c r="G170" s="80"/>
      <c r="H170" s="80"/>
      <c r="I170" s="80"/>
    </row>
    <row r="171">
      <c r="A171" s="77">
        <v>1.0</v>
      </c>
      <c r="B171" s="78" t="s">
        <v>2978</v>
      </c>
      <c r="C171" s="78" t="s">
        <v>2979</v>
      </c>
      <c r="D171" s="78" t="s">
        <v>2980</v>
      </c>
      <c r="E171" s="78"/>
      <c r="F171" s="77" t="s">
        <v>8</v>
      </c>
      <c r="G171" s="78"/>
      <c r="H171" s="78"/>
      <c r="I171" s="74"/>
    </row>
    <row r="172">
      <c r="A172" s="77">
        <v>2.0</v>
      </c>
      <c r="B172" s="78" t="s">
        <v>2981</v>
      </c>
      <c r="C172" s="78" t="s">
        <v>2982</v>
      </c>
      <c r="D172" s="78" t="s">
        <v>2983</v>
      </c>
      <c r="E172" s="78"/>
      <c r="F172" s="77" t="s">
        <v>8</v>
      </c>
      <c r="G172" s="78"/>
      <c r="H172" s="78"/>
      <c r="I172" s="74"/>
    </row>
    <row r="173">
      <c r="A173" s="77">
        <v>3.0</v>
      </c>
      <c r="B173" s="78" t="s">
        <v>2984</v>
      </c>
      <c r="C173" s="78" t="s">
        <v>2985</v>
      </c>
      <c r="D173" s="78" t="s">
        <v>2986</v>
      </c>
      <c r="E173" s="78"/>
      <c r="F173" s="77" t="s">
        <v>8</v>
      </c>
      <c r="G173" s="78"/>
      <c r="H173" s="78"/>
      <c r="I173" s="74"/>
    </row>
    <row r="174">
      <c r="A174" s="77">
        <v>4.0</v>
      </c>
      <c r="B174" s="78" t="s">
        <v>2987</v>
      </c>
      <c r="C174" s="78" t="s">
        <v>2988</v>
      </c>
      <c r="D174" s="78" t="s">
        <v>2989</v>
      </c>
      <c r="E174" s="78"/>
      <c r="F174" s="77" t="s">
        <v>8</v>
      </c>
      <c r="G174" s="78"/>
      <c r="H174" s="78"/>
      <c r="I174" s="74"/>
    </row>
    <row r="175">
      <c r="A175" s="77">
        <v>5.0</v>
      </c>
      <c r="B175" s="93" t="s">
        <v>2990</v>
      </c>
      <c r="C175" s="93" t="s">
        <v>2991</v>
      </c>
      <c r="D175" s="93" t="s">
        <v>2992</v>
      </c>
      <c r="E175" s="74"/>
      <c r="F175" s="95" t="s">
        <v>8</v>
      </c>
      <c r="G175" s="74"/>
      <c r="H175" s="74"/>
      <c r="I175" s="74"/>
    </row>
    <row r="176">
      <c r="A176" s="77">
        <v>6.0</v>
      </c>
      <c r="B176" s="93" t="s">
        <v>2993</v>
      </c>
      <c r="C176" s="93" t="s">
        <v>2994</v>
      </c>
      <c r="D176" s="93" t="s">
        <v>2995</v>
      </c>
      <c r="E176" s="74"/>
      <c r="F176" s="95" t="s">
        <v>8</v>
      </c>
      <c r="G176" s="74"/>
      <c r="H176" s="74"/>
      <c r="I176" s="74"/>
    </row>
    <row r="177">
      <c r="A177" s="77">
        <v>7.0</v>
      </c>
      <c r="B177" s="78" t="s">
        <v>2996</v>
      </c>
      <c r="C177" s="78" t="s">
        <v>2997</v>
      </c>
      <c r="D177" s="78" t="s">
        <v>2998</v>
      </c>
      <c r="E177" s="78"/>
      <c r="F177" s="77" t="s">
        <v>8</v>
      </c>
      <c r="G177" s="78"/>
      <c r="H177" s="78"/>
      <c r="I177" s="74"/>
    </row>
    <row r="178">
      <c r="A178" s="77">
        <v>8.0</v>
      </c>
      <c r="B178" s="93" t="s">
        <v>2999</v>
      </c>
      <c r="C178" s="93" t="s">
        <v>3000</v>
      </c>
      <c r="D178" s="93" t="s">
        <v>3001</v>
      </c>
      <c r="E178" s="74"/>
      <c r="F178" s="95" t="s">
        <v>7</v>
      </c>
      <c r="G178" s="74"/>
      <c r="H178" s="74"/>
      <c r="I178" s="74"/>
    </row>
    <row r="179">
      <c r="A179" s="77">
        <v>9.0</v>
      </c>
      <c r="B179" s="93" t="s">
        <v>3002</v>
      </c>
      <c r="C179" s="93" t="s">
        <v>3003</v>
      </c>
      <c r="D179" s="93" t="s">
        <v>3004</v>
      </c>
      <c r="E179" s="74"/>
      <c r="F179" s="95" t="s">
        <v>7</v>
      </c>
      <c r="G179" s="74"/>
      <c r="H179" s="74"/>
      <c r="I179" s="74"/>
    </row>
    <row r="180">
      <c r="A180" s="77">
        <v>10.0</v>
      </c>
      <c r="B180" s="78" t="s">
        <v>3005</v>
      </c>
      <c r="C180" s="78" t="s">
        <v>3006</v>
      </c>
      <c r="D180" s="78" t="s">
        <v>3007</v>
      </c>
      <c r="E180" s="74"/>
      <c r="F180" s="77" t="s">
        <v>8</v>
      </c>
      <c r="G180" s="74"/>
      <c r="H180" s="74"/>
      <c r="I180" s="74"/>
    </row>
    <row r="181">
      <c r="A181" s="77">
        <v>11.0</v>
      </c>
      <c r="B181" s="93" t="s">
        <v>3008</v>
      </c>
      <c r="C181" s="93" t="s">
        <v>3009</v>
      </c>
      <c r="D181" s="93" t="s">
        <v>3010</v>
      </c>
      <c r="E181" s="74"/>
      <c r="F181" s="95" t="s">
        <v>8</v>
      </c>
      <c r="G181" s="74"/>
      <c r="H181" s="74"/>
      <c r="I181" s="74"/>
    </row>
    <row r="182">
      <c r="A182" s="77">
        <v>12.0</v>
      </c>
      <c r="B182" s="78" t="s">
        <v>3011</v>
      </c>
      <c r="C182" s="78" t="s">
        <v>3012</v>
      </c>
      <c r="D182" s="78" t="s">
        <v>3013</v>
      </c>
      <c r="E182" s="74"/>
      <c r="F182" s="77" t="s">
        <v>8</v>
      </c>
      <c r="G182" s="74"/>
      <c r="H182" s="74"/>
      <c r="I182" s="74"/>
    </row>
    <row r="183">
      <c r="A183" s="77">
        <v>13.0</v>
      </c>
      <c r="B183" s="93" t="s">
        <v>3014</v>
      </c>
      <c r="C183" s="93" t="s">
        <v>3015</v>
      </c>
      <c r="D183" s="93" t="s">
        <v>3016</v>
      </c>
      <c r="E183" s="74"/>
      <c r="F183" s="95" t="s">
        <v>7</v>
      </c>
      <c r="G183" s="74"/>
      <c r="H183" s="74"/>
      <c r="I183" s="74"/>
    </row>
    <row r="184">
      <c r="A184" s="77">
        <v>14.0</v>
      </c>
      <c r="B184" s="78" t="s">
        <v>3017</v>
      </c>
      <c r="C184" s="78" t="s">
        <v>3018</v>
      </c>
      <c r="D184" s="78" t="s">
        <v>3019</v>
      </c>
      <c r="E184" s="74"/>
      <c r="F184" s="77" t="s">
        <v>8</v>
      </c>
      <c r="G184" s="74"/>
      <c r="H184" s="74"/>
      <c r="I184" s="74"/>
    </row>
    <row r="185">
      <c r="A185" s="77">
        <v>15.0</v>
      </c>
      <c r="B185" s="78" t="s">
        <v>3020</v>
      </c>
      <c r="C185" s="78" t="s">
        <v>3021</v>
      </c>
      <c r="D185" s="78" t="s">
        <v>3022</v>
      </c>
      <c r="E185" s="74"/>
      <c r="F185" s="77" t="s">
        <v>8</v>
      </c>
      <c r="G185" s="74"/>
      <c r="H185" s="74"/>
      <c r="I185" s="74"/>
    </row>
    <row r="186">
      <c r="A186" s="77">
        <v>16.0</v>
      </c>
      <c r="B186" s="93" t="s">
        <v>3023</v>
      </c>
      <c r="C186" s="93" t="s">
        <v>3024</v>
      </c>
      <c r="D186" s="93" t="s">
        <v>672</v>
      </c>
      <c r="E186" s="74"/>
      <c r="F186" s="95" t="s">
        <v>8</v>
      </c>
      <c r="G186" s="74"/>
      <c r="H186" s="74"/>
      <c r="I186" s="74"/>
    </row>
    <row r="187">
      <c r="A187" s="77">
        <v>17.0</v>
      </c>
      <c r="B187" s="93" t="s">
        <v>3025</v>
      </c>
      <c r="C187" s="93" t="s">
        <v>3026</v>
      </c>
      <c r="D187" s="93" t="s">
        <v>3027</v>
      </c>
      <c r="E187" s="74"/>
      <c r="F187" s="95" t="s">
        <v>8</v>
      </c>
      <c r="G187" s="74"/>
      <c r="H187" s="74"/>
      <c r="I187" s="74"/>
    </row>
    <row r="188">
      <c r="A188" s="77">
        <v>18.0</v>
      </c>
      <c r="B188" s="78" t="s">
        <v>3028</v>
      </c>
      <c r="C188" s="78" t="s">
        <v>3029</v>
      </c>
      <c r="D188" s="78" t="s">
        <v>3030</v>
      </c>
      <c r="E188" s="74"/>
      <c r="F188" s="77" t="s">
        <v>8</v>
      </c>
      <c r="G188" s="74"/>
      <c r="H188" s="74"/>
      <c r="I188" s="74"/>
    </row>
    <row r="189">
      <c r="A189" s="77">
        <v>19.0</v>
      </c>
      <c r="B189" s="93" t="s">
        <v>3031</v>
      </c>
      <c r="C189" s="93" t="s">
        <v>3032</v>
      </c>
      <c r="D189" s="93" t="s">
        <v>3033</v>
      </c>
      <c r="E189" s="76" t="s">
        <v>3034</v>
      </c>
      <c r="F189" s="95" t="s">
        <v>9</v>
      </c>
      <c r="G189" s="74"/>
      <c r="H189" s="74"/>
      <c r="I189" s="74"/>
    </row>
    <row r="190">
      <c r="A190" s="77">
        <v>20.0</v>
      </c>
      <c r="B190" s="78" t="s">
        <v>3035</v>
      </c>
      <c r="C190" s="78" t="s">
        <v>3036</v>
      </c>
      <c r="D190" s="78" t="s">
        <v>3037</v>
      </c>
      <c r="E190" s="74"/>
      <c r="F190" s="77" t="s">
        <v>8</v>
      </c>
      <c r="G190" s="74"/>
      <c r="H190" s="74"/>
      <c r="I190" s="74"/>
    </row>
    <row r="191">
      <c r="A191" s="77">
        <v>21.0</v>
      </c>
      <c r="B191" s="78" t="s">
        <v>3038</v>
      </c>
      <c r="C191" s="78" t="s">
        <v>3039</v>
      </c>
      <c r="D191" s="78" t="s">
        <v>3040</v>
      </c>
      <c r="E191" s="74"/>
      <c r="F191" s="77" t="s">
        <v>8</v>
      </c>
      <c r="G191" s="74"/>
      <c r="H191" s="74"/>
      <c r="I191" s="74"/>
    </row>
    <row r="192">
      <c r="A192" s="77">
        <v>22.0</v>
      </c>
      <c r="B192" s="78" t="s">
        <v>285</v>
      </c>
      <c r="C192" s="78" t="s">
        <v>3041</v>
      </c>
      <c r="D192" s="78" t="s">
        <v>3042</v>
      </c>
      <c r="E192" s="74"/>
      <c r="F192" s="77" t="s">
        <v>8</v>
      </c>
      <c r="G192" s="74"/>
      <c r="H192" s="74"/>
      <c r="I192" s="74"/>
    </row>
    <row r="193">
      <c r="A193" s="77">
        <v>23.0</v>
      </c>
      <c r="B193" s="93" t="s">
        <v>3043</v>
      </c>
      <c r="C193" s="93" t="s">
        <v>3015</v>
      </c>
      <c r="D193" s="93" t="s">
        <v>3016</v>
      </c>
      <c r="E193" s="76" t="s">
        <v>3034</v>
      </c>
      <c r="F193" s="95" t="s">
        <v>9</v>
      </c>
      <c r="G193" s="74"/>
      <c r="H193" s="74"/>
      <c r="I193" s="74"/>
    </row>
    <row r="194">
      <c r="A194" s="77">
        <v>24.0</v>
      </c>
      <c r="B194" s="78" t="s">
        <v>3044</v>
      </c>
      <c r="C194" s="78" t="s">
        <v>3045</v>
      </c>
      <c r="D194" s="78" t="s">
        <v>3046</v>
      </c>
      <c r="E194" s="74"/>
      <c r="F194" s="77" t="s">
        <v>8</v>
      </c>
      <c r="G194" s="74"/>
      <c r="H194" s="74"/>
      <c r="I194" s="74"/>
    </row>
    <row r="195">
      <c r="A195" s="77">
        <v>25.0</v>
      </c>
      <c r="B195" s="78" t="s">
        <v>3047</v>
      </c>
      <c r="C195" s="78" t="s">
        <v>3048</v>
      </c>
      <c r="D195" s="78" t="s">
        <v>3049</v>
      </c>
      <c r="E195" s="74"/>
      <c r="F195" s="77" t="s">
        <v>8</v>
      </c>
      <c r="G195" s="74"/>
      <c r="H195" s="74"/>
      <c r="I195" s="74"/>
    </row>
    <row r="196">
      <c r="A196" s="77">
        <v>26.0</v>
      </c>
      <c r="B196" s="78" t="s">
        <v>3050</v>
      </c>
      <c r="C196" s="78" t="s">
        <v>3051</v>
      </c>
      <c r="D196" s="78" t="s">
        <v>3052</v>
      </c>
      <c r="E196" s="74"/>
      <c r="F196" s="77" t="s">
        <v>8</v>
      </c>
      <c r="G196" s="74"/>
      <c r="H196" s="74"/>
      <c r="I196" s="74"/>
    </row>
    <row r="197">
      <c r="A197" s="77">
        <v>27.0</v>
      </c>
      <c r="B197" s="78" t="s">
        <v>3053</v>
      </c>
      <c r="C197" s="78" t="s">
        <v>3054</v>
      </c>
      <c r="D197" s="78" t="s">
        <v>3055</v>
      </c>
      <c r="E197" s="74"/>
      <c r="F197" s="77" t="s">
        <v>8</v>
      </c>
      <c r="G197" s="74"/>
      <c r="H197" s="74"/>
      <c r="I197" s="74"/>
    </row>
    <row r="198">
      <c r="A198" s="77">
        <v>28.0</v>
      </c>
      <c r="B198" s="78" t="s">
        <v>3056</v>
      </c>
      <c r="C198" s="78" t="s">
        <v>3057</v>
      </c>
      <c r="D198" s="78" t="s">
        <v>3058</v>
      </c>
      <c r="E198" s="74"/>
      <c r="F198" s="77" t="s">
        <v>8</v>
      </c>
      <c r="G198" s="74"/>
      <c r="H198" s="74"/>
      <c r="I198" s="74"/>
    </row>
    <row r="199">
      <c r="A199" s="77">
        <v>29.0</v>
      </c>
      <c r="B199" s="78" t="s">
        <v>3059</v>
      </c>
      <c r="C199" s="78" t="s">
        <v>3060</v>
      </c>
      <c r="D199" s="78" t="s">
        <v>3061</v>
      </c>
      <c r="E199" s="74"/>
      <c r="F199" s="77" t="s">
        <v>8</v>
      </c>
      <c r="G199" s="74"/>
      <c r="H199" s="74"/>
      <c r="I199" s="74"/>
    </row>
    <row r="200">
      <c r="A200" s="77">
        <v>30.0</v>
      </c>
      <c r="B200" s="78" t="s">
        <v>3062</v>
      </c>
      <c r="C200" s="78" t="s">
        <v>3063</v>
      </c>
      <c r="D200" s="78" t="s">
        <v>3064</v>
      </c>
      <c r="E200" s="74"/>
      <c r="F200" s="77" t="s">
        <v>8</v>
      </c>
      <c r="G200" s="74"/>
      <c r="H200" s="74"/>
      <c r="I200" s="74"/>
    </row>
    <row r="201">
      <c r="A201" s="77">
        <v>31.0</v>
      </c>
      <c r="B201" s="78" t="s">
        <v>3065</v>
      </c>
      <c r="C201" s="78" t="s">
        <v>3066</v>
      </c>
      <c r="D201" s="78" t="s">
        <v>3067</v>
      </c>
      <c r="E201" s="74"/>
      <c r="F201" s="77" t="s">
        <v>8</v>
      </c>
      <c r="G201" s="74"/>
      <c r="H201" s="74"/>
      <c r="I201" s="74"/>
    </row>
    <row r="202">
      <c r="A202" s="77">
        <v>32.0</v>
      </c>
      <c r="B202" s="78" t="s">
        <v>3068</v>
      </c>
      <c r="C202" s="78" t="s">
        <v>3069</v>
      </c>
      <c r="D202" s="78" t="s">
        <v>3070</v>
      </c>
      <c r="E202" s="74"/>
      <c r="F202" s="77" t="s">
        <v>8</v>
      </c>
      <c r="G202" s="74"/>
      <c r="H202" s="74"/>
      <c r="I202" s="74"/>
    </row>
    <row r="203">
      <c r="A203" s="77">
        <v>33.0</v>
      </c>
      <c r="B203" s="78" t="s">
        <v>3071</v>
      </c>
      <c r="C203" s="78" t="s">
        <v>3072</v>
      </c>
      <c r="D203" s="78" t="s">
        <v>3073</v>
      </c>
      <c r="E203" s="74"/>
      <c r="F203" s="77" t="s">
        <v>8</v>
      </c>
      <c r="G203" s="74"/>
      <c r="H203" s="74"/>
      <c r="I203" s="74"/>
    </row>
    <row r="204">
      <c r="A204" s="77">
        <v>34.0</v>
      </c>
      <c r="B204" s="78" t="s">
        <v>3074</v>
      </c>
      <c r="C204" s="78" t="s">
        <v>3075</v>
      </c>
      <c r="D204" s="78" t="s">
        <v>3076</v>
      </c>
      <c r="E204" s="74"/>
      <c r="F204" s="77" t="s">
        <v>8</v>
      </c>
      <c r="G204" s="74"/>
      <c r="H204" s="74"/>
      <c r="I204" s="74"/>
    </row>
    <row r="205">
      <c r="A205" s="77">
        <v>35.0</v>
      </c>
      <c r="B205" s="78" t="s">
        <v>3077</v>
      </c>
      <c r="C205" s="78" t="s">
        <v>3078</v>
      </c>
      <c r="D205" s="78" t="s">
        <v>3079</v>
      </c>
      <c r="E205" s="74"/>
      <c r="F205" s="77" t="s">
        <v>8</v>
      </c>
      <c r="G205" s="74"/>
      <c r="H205" s="74"/>
      <c r="I205" s="74"/>
    </row>
    <row r="206">
      <c r="A206" s="77">
        <v>36.0</v>
      </c>
      <c r="B206" s="78" t="s">
        <v>3080</v>
      </c>
      <c r="C206" s="78" t="s">
        <v>3081</v>
      </c>
      <c r="D206" s="78" t="s">
        <v>3082</v>
      </c>
      <c r="E206" s="74"/>
      <c r="F206" s="77" t="s">
        <v>8</v>
      </c>
      <c r="G206" s="74"/>
      <c r="H206" s="74"/>
      <c r="I206" s="74"/>
    </row>
    <row r="207">
      <c r="A207" s="77">
        <v>37.0</v>
      </c>
      <c r="B207" s="93" t="s">
        <v>3083</v>
      </c>
      <c r="C207" s="93" t="s">
        <v>3084</v>
      </c>
      <c r="D207" s="93" t="s">
        <v>3085</v>
      </c>
      <c r="E207" s="74"/>
      <c r="F207" s="95" t="s">
        <v>7</v>
      </c>
      <c r="G207" s="74"/>
      <c r="H207" s="74"/>
      <c r="I207" s="74"/>
    </row>
    <row r="208" ht="15.75" customHeight="1">
      <c r="A208" s="66" t="s">
        <v>3086</v>
      </c>
      <c r="B208" s="91"/>
      <c r="C208" s="91"/>
      <c r="D208" s="67"/>
      <c r="E208" s="79"/>
      <c r="F208" s="103"/>
      <c r="G208" s="80"/>
      <c r="H208" s="80"/>
      <c r="I208" s="80"/>
    </row>
    <row r="209">
      <c r="A209" s="77">
        <v>1.0</v>
      </c>
      <c r="B209" s="148" t="s">
        <v>3087</v>
      </c>
      <c r="C209" s="148" t="s">
        <v>3088</v>
      </c>
      <c r="D209" s="148" t="s">
        <v>3089</v>
      </c>
      <c r="E209" s="78"/>
      <c r="F209" s="75" t="s">
        <v>8</v>
      </c>
      <c r="G209" s="74"/>
      <c r="H209" s="74"/>
      <c r="I209" s="74"/>
    </row>
    <row r="210">
      <c r="A210" s="95">
        <v>2.0</v>
      </c>
      <c r="B210" s="78" t="s">
        <v>3090</v>
      </c>
      <c r="C210" s="78" t="s">
        <v>3091</v>
      </c>
      <c r="D210" s="78" t="s">
        <v>3092</v>
      </c>
      <c r="E210" s="74"/>
      <c r="F210" s="75" t="s">
        <v>8</v>
      </c>
      <c r="G210" s="74"/>
      <c r="H210" s="74"/>
      <c r="I210" s="74"/>
    </row>
    <row r="211">
      <c r="A211" s="77">
        <v>3.0</v>
      </c>
      <c r="B211" s="93" t="s">
        <v>3093</v>
      </c>
      <c r="C211" s="93" t="s">
        <v>3094</v>
      </c>
      <c r="D211" s="93" t="s">
        <v>3095</v>
      </c>
      <c r="E211" s="76"/>
      <c r="F211" s="75" t="s">
        <v>8</v>
      </c>
      <c r="G211" s="74"/>
      <c r="H211" s="74"/>
      <c r="I211" s="74"/>
    </row>
    <row r="212">
      <c r="A212" s="95">
        <v>4.0</v>
      </c>
      <c r="B212" s="78" t="s">
        <v>3096</v>
      </c>
      <c r="C212" s="78" t="s">
        <v>3097</v>
      </c>
      <c r="D212" s="78" t="s">
        <v>3098</v>
      </c>
      <c r="E212" s="74"/>
      <c r="F212" s="75" t="s">
        <v>8</v>
      </c>
      <c r="G212" s="74"/>
      <c r="H212" s="74"/>
      <c r="I212" s="74"/>
    </row>
    <row r="213">
      <c r="A213" s="77">
        <v>5.0</v>
      </c>
      <c r="B213" s="93" t="s">
        <v>3099</v>
      </c>
      <c r="C213" s="93" t="s">
        <v>3100</v>
      </c>
      <c r="D213" s="93" t="s">
        <v>3101</v>
      </c>
      <c r="E213" s="74"/>
      <c r="F213" s="75" t="s">
        <v>8</v>
      </c>
      <c r="G213" s="74"/>
      <c r="H213" s="74"/>
      <c r="I213" s="74"/>
    </row>
    <row r="214">
      <c r="A214" s="95">
        <v>6.0</v>
      </c>
      <c r="B214" s="93" t="s">
        <v>3102</v>
      </c>
      <c r="C214" s="93" t="s">
        <v>3103</v>
      </c>
      <c r="D214" s="93" t="s">
        <v>3104</v>
      </c>
      <c r="E214" s="76"/>
      <c r="F214" s="75" t="s">
        <v>8</v>
      </c>
      <c r="G214" s="74"/>
      <c r="H214" s="74"/>
      <c r="I214" s="74"/>
    </row>
    <row r="215">
      <c r="A215" s="95">
        <v>8.0</v>
      </c>
      <c r="B215" s="93" t="s">
        <v>3105</v>
      </c>
      <c r="C215" s="93" t="s">
        <v>3106</v>
      </c>
      <c r="D215" s="93" t="s">
        <v>3107</v>
      </c>
      <c r="E215" s="74"/>
      <c r="F215" s="75" t="s">
        <v>8</v>
      </c>
      <c r="G215" s="74"/>
      <c r="H215" s="74"/>
      <c r="I215" s="74"/>
    </row>
    <row r="216">
      <c r="A216" s="77">
        <v>9.0</v>
      </c>
      <c r="B216" s="93" t="s">
        <v>3108</v>
      </c>
      <c r="C216" s="93" t="s">
        <v>3109</v>
      </c>
      <c r="D216" s="93" t="s">
        <v>3110</v>
      </c>
      <c r="E216" s="74"/>
      <c r="F216" s="75" t="s">
        <v>8</v>
      </c>
      <c r="G216" s="74"/>
      <c r="H216" s="74"/>
      <c r="I216" s="74"/>
    </row>
    <row r="217">
      <c r="A217" s="95">
        <v>10.0</v>
      </c>
      <c r="B217" s="93" t="s">
        <v>3111</v>
      </c>
      <c r="C217" s="93" t="s">
        <v>3112</v>
      </c>
      <c r="D217" s="93" t="s">
        <v>3113</v>
      </c>
      <c r="E217" s="74"/>
      <c r="F217" s="75" t="s">
        <v>8</v>
      </c>
      <c r="G217" s="74"/>
      <c r="H217" s="74"/>
      <c r="I217" s="74"/>
    </row>
    <row r="218">
      <c r="A218" s="77">
        <v>11.0</v>
      </c>
      <c r="B218" s="93" t="s">
        <v>3114</v>
      </c>
      <c r="C218" s="93" t="s">
        <v>3115</v>
      </c>
      <c r="D218" s="93" t="s">
        <v>374</v>
      </c>
      <c r="E218" s="74"/>
      <c r="F218" s="75" t="s">
        <v>8</v>
      </c>
      <c r="G218" s="74"/>
      <c r="H218" s="74"/>
      <c r="I218" s="74"/>
    </row>
    <row r="219">
      <c r="A219" s="95">
        <v>12.0</v>
      </c>
      <c r="B219" s="93" t="s">
        <v>3116</v>
      </c>
      <c r="C219" s="93" t="s">
        <v>3117</v>
      </c>
      <c r="D219" s="93" t="s">
        <v>3118</v>
      </c>
      <c r="E219" s="76" t="s">
        <v>3119</v>
      </c>
      <c r="F219" s="75" t="s">
        <v>8</v>
      </c>
      <c r="G219" s="76" t="s">
        <v>3120</v>
      </c>
      <c r="H219" s="74"/>
      <c r="I219" s="74"/>
    </row>
    <row r="220">
      <c r="A220" s="77">
        <v>13.0</v>
      </c>
      <c r="B220" s="93" t="s">
        <v>3121</v>
      </c>
      <c r="C220" s="93" t="s">
        <v>3122</v>
      </c>
      <c r="D220" s="93" t="s">
        <v>3123</v>
      </c>
      <c r="E220" s="74"/>
      <c r="F220" s="75" t="s">
        <v>7</v>
      </c>
      <c r="G220" s="74"/>
      <c r="H220" s="74"/>
      <c r="I220" s="74"/>
    </row>
    <row r="221">
      <c r="A221" s="95">
        <v>14.0</v>
      </c>
      <c r="B221" s="78" t="s">
        <v>3124</v>
      </c>
      <c r="C221" s="78" t="s">
        <v>3125</v>
      </c>
      <c r="D221" s="78" t="s">
        <v>3126</v>
      </c>
      <c r="E221" s="74"/>
      <c r="F221" s="75" t="s">
        <v>7</v>
      </c>
      <c r="G221" s="74"/>
      <c r="H221" s="74"/>
      <c r="I221" s="74"/>
    </row>
    <row r="222">
      <c r="A222" s="77">
        <v>15.0</v>
      </c>
      <c r="B222" s="93" t="s">
        <v>3127</v>
      </c>
      <c r="C222" s="93" t="s">
        <v>3128</v>
      </c>
      <c r="D222" s="93" t="s">
        <v>3129</v>
      </c>
      <c r="E222" s="74"/>
      <c r="F222" s="75" t="s">
        <v>7</v>
      </c>
      <c r="G222" s="74"/>
      <c r="H222" s="74"/>
      <c r="I222" s="74"/>
    </row>
    <row r="223">
      <c r="A223" s="95">
        <v>16.0</v>
      </c>
      <c r="B223" s="78" t="s">
        <v>3130</v>
      </c>
      <c r="C223" s="78" t="s">
        <v>3131</v>
      </c>
      <c r="D223" s="78" t="s">
        <v>3132</v>
      </c>
      <c r="E223" s="78"/>
      <c r="F223" s="75" t="s">
        <v>7</v>
      </c>
      <c r="G223" s="78"/>
      <c r="H223" s="78"/>
      <c r="I223" s="78"/>
    </row>
    <row r="224">
      <c r="A224" s="77">
        <v>17.0</v>
      </c>
      <c r="B224" s="93" t="s">
        <v>2661</v>
      </c>
      <c r="C224" s="93" t="s">
        <v>3133</v>
      </c>
      <c r="D224" s="93" t="s">
        <v>3134</v>
      </c>
      <c r="E224" s="74"/>
      <c r="F224" s="75" t="s">
        <v>7</v>
      </c>
      <c r="G224" s="74"/>
      <c r="H224" s="74"/>
      <c r="I224" s="74"/>
    </row>
    <row r="225">
      <c r="A225" s="95">
        <v>18.0</v>
      </c>
      <c r="B225" s="78" t="s">
        <v>3135</v>
      </c>
      <c r="C225" s="78" t="s">
        <v>3136</v>
      </c>
      <c r="D225" s="78" t="s">
        <v>3137</v>
      </c>
      <c r="E225" s="74"/>
      <c r="F225" s="75" t="s">
        <v>7</v>
      </c>
      <c r="G225" s="74"/>
      <c r="H225" s="74"/>
      <c r="I225" s="74"/>
    </row>
    <row r="226" ht="15.75" customHeight="1">
      <c r="A226" s="66" t="s">
        <v>3138</v>
      </c>
      <c r="B226" s="91"/>
      <c r="C226" s="91"/>
      <c r="D226" s="67"/>
      <c r="E226" s="79"/>
      <c r="F226" s="103"/>
      <c r="G226" s="80"/>
      <c r="H226" s="80"/>
      <c r="I226" s="80"/>
    </row>
    <row r="227">
      <c r="A227" s="77">
        <v>1.0</v>
      </c>
      <c r="B227" s="78" t="s">
        <v>3139</v>
      </c>
      <c r="C227" s="78" t="s">
        <v>3140</v>
      </c>
      <c r="D227" s="78" t="s">
        <v>3141</v>
      </c>
      <c r="E227" s="78"/>
      <c r="F227" s="72" t="s">
        <v>8</v>
      </c>
      <c r="G227" s="74"/>
      <c r="H227" s="74"/>
      <c r="I227" s="74"/>
    </row>
    <row r="228">
      <c r="A228" s="77">
        <v>2.0</v>
      </c>
      <c r="B228" s="78" t="s">
        <v>3142</v>
      </c>
      <c r="C228" s="78" t="s">
        <v>3143</v>
      </c>
      <c r="D228" s="78" t="s">
        <v>3144</v>
      </c>
      <c r="E228" s="78"/>
      <c r="F228" s="72" t="s">
        <v>8</v>
      </c>
      <c r="G228" s="74"/>
      <c r="H228" s="74"/>
      <c r="I228" s="74"/>
    </row>
    <row r="229">
      <c r="A229" s="77">
        <v>3.0</v>
      </c>
      <c r="B229" s="78" t="s">
        <v>3145</v>
      </c>
      <c r="C229" s="78" t="s">
        <v>3146</v>
      </c>
      <c r="D229" s="78" t="s">
        <v>3147</v>
      </c>
      <c r="E229" s="78"/>
      <c r="F229" s="72" t="s">
        <v>8</v>
      </c>
      <c r="G229" s="74"/>
      <c r="H229" s="74"/>
      <c r="I229" s="74"/>
    </row>
    <row r="230">
      <c r="A230" s="77">
        <v>4.0</v>
      </c>
      <c r="B230" s="78" t="s">
        <v>3148</v>
      </c>
      <c r="C230" s="78" t="s">
        <v>1683</v>
      </c>
      <c r="D230" s="78" t="s">
        <v>3149</v>
      </c>
      <c r="E230" s="78"/>
      <c r="F230" s="72" t="s">
        <v>8</v>
      </c>
      <c r="G230" s="74"/>
      <c r="H230" s="74"/>
      <c r="I230" s="74"/>
    </row>
    <row r="231">
      <c r="A231" s="77">
        <v>5.0</v>
      </c>
      <c r="B231" s="78" t="s">
        <v>1726</v>
      </c>
      <c r="C231" s="78" t="s">
        <v>3150</v>
      </c>
      <c r="D231" s="78" t="s">
        <v>3151</v>
      </c>
      <c r="E231" s="78"/>
      <c r="F231" s="72" t="s">
        <v>8</v>
      </c>
      <c r="G231" s="74"/>
      <c r="H231" s="74"/>
      <c r="I231" s="74"/>
    </row>
    <row r="232" ht="15.75" customHeight="1">
      <c r="A232" s="66" t="s">
        <v>3152</v>
      </c>
      <c r="B232" s="91"/>
      <c r="C232" s="91"/>
      <c r="D232" s="67"/>
      <c r="E232" s="79"/>
      <c r="F232" s="103"/>
      <c r="G232" s="80"/>
      <c r="H232" s="80"/>
      <c r="I232" s="80"/>
    </row>
    <row r="233">
      <c r="A233" s="77">
        <v>1.0</v>
      </c>
      <c r="B233" s="78" t="s">
        <v>3153</v>
      </c>
      <c r="C233" s="78" t="s">
        <v>3154</v>
      </c>
      <c r="D233" s="78" t="s">
        <v>3155</v>
      </c>
      <c r="E233" s="74"/>
      <c r="F233" s="72" t="s">
        <v>8</v>
      </c>
      <c r="G233" s="74"/>
      <c r="H233" s="74"/>
      <c r="I233" s="74"/>
    </row>
    <row r="234">
      <c r="A234" s="77">
        <v>2.0</v>
      </c>
      <c r="B234" s="78" t="s">
        <v>3156</v>
      </c>
      <c r="C234" s="78" t="s">
        <v>3157</v>
      </c>
      <c r="D234" s="78" t="s">
        <v>3158</v>
      </c>
      <c r="E234" s="74"/>
      <c r="F234" s="72" t="s">
        <v>8</v>
      </c>
      <c r="G234" s="74"/>
      <c r="H234" s="74"/>
      <c r="I234" s="74"/>
    </row>
    <row r="235">
      <c r="A235" s="77">
        <v>3.0</v>
      </c>
      <c r="B235" s="78" t="s">
        <v>3148</v>
      </c>
      <c r="C235" s="78" t="s">
        <v>3159</v>
      </c>
      <c r="D235" s="78" t="s">
        <v>3149</v>
      </c>
      <c r="E235" s="74"/>
      <c r="F235" s="72" t="s">
        <v>8</v>
      </c>
      <c r="G235" s="74"/>
      <c r="H235" s="74"/>
      <c r="I235" s="74"/>
    </row>
    <row r="236">
      <c r="A236" s="77">
        <v>4.0</v>
      </c>
      <c r="B236" s="78" t="s">
        <v>1726</v>
      </c>
      <c r="C236" s="78" t="s">
        <v>1727</v>
      </c>
      <c r="D236" s="78" t="s">
        <v>1728</v>
      </c>
      <c r="E236" s="74"/>
      <c r="F236" s="72" t="s">
        <v>8</v>
      </c>
      <c r="G236" s="74"/>
      <c r="H236" s="74"/>
      <c r="I236" s="74"/>
    </row>
    <row r="237" ht="15.75" customHeight="1">
      <c r="A237" s="66" t="s">
        <v>57</v>
      </c>
      <c r="B237" s="91"/>
      <c r="C237" s="91"/>
      <c r="D237" s="67"/>
      <c r="E237" s="79"/>
      <c r="F237" s="103"/>
      <c r="G237" s="80"/>
      <c r="H237" s="80"/>
      <c r="I237" s="80"/>
    </row>
    <row r="238">
      <c r="A238" s="77">
        <v>1.0</v>
      </c>
      <c r="B238" s="78" t="s">
        <v>3160</v>
      </c>
      <c r="C238" s="78" t="s">
        <v>3161</v>
      </c>
      <c r="D238" s="78" t="s">
        <v>3162</v>
      </c>
      <c r="E238" s="78"/>
      <c r="F238" s="77" t="s">
        <v>8</v>
      </c>
      <c r="G238" s="78"/>
      <c r="H238" s="78"/>
      <c r="I238" s="74"/>
    </row>
    <row r="239">
      <c r="A239" s="77">
        <v>2.0</v>
      </c>
      <c r="B239" s="78" t="s">
        <v>3163</v>
      </c>
      <c r="C239" s="78" t="s">
        <v>3164</v>
      </c>
      <c r="D239" s="78" t="s">
        <v>3165</v>
      </c>
      <c r="E239" s="78"/>
      <c r="F239" s="95" t="s">
        <v>8</v>
      </c>
      <c r="G239" s="78"/>
      <c r="H239" s="78"/>
      <c r="I239" s="74"/>
    </row>
    <row r="240">
      <c r="A240" s="77">
        <v>3.0</v>
      </c>
      <c r="B240" s="78" t="s">
        <v>3166</v>
      </c>
      <c r="C240" s="78" t="s">
        <v>3167</v>
      </c>
      <c r="D240" s="78" t="s">
        <v>3168</v>
      </c>
      <c r="E240" s="78"/>
      <c r="F240" s="95" t="s">
        <v>8</v>
      </c>
      <c r="G240" s="78"/>
      <c r="H240" s="78"/>
      <c r="I240" s="74"/>
    </row>
    <row r="241">
      <c r="A241" s="77">
        <v>4.0</v>
      </c>
      <c r="B241" s="78" t="s">
        <v>3169</v>
      </c>
      <c r="C241" s="78" t="s">
        <v>3170</v>
      </c>
      <c r="D241" s="78" t="s">
        <v>3171</v>
      </c>
      <c r="E241" s="78"/>
      <c r="F241" s="95" t="s">
        <v>8</v>
      </c>
      <c r="G241" s="78"/>
      <c r="H241" s="78"/>
      <c r="I241" s="74"/>
    </row>
    <row r="242">
      <c r="A242" s="77">
        <v>5.0</v>
      </c>
      <c r="B242" s="78" t="s">
        <v>3172</v>
      </c>
      <c r="C242" s="78" t="s">
        <v>3173</v>
      </c>
      <c r="D242" s="78" t="s">
        <v>3174</v>
      </c>
      <c r="E242" s="78"/>
      <c r="F242" s="95" t="s">
        <v>8</v>
      </c>
      <c r="G242" s="78"/>
      <c r="H242" s="78"/>
      <c r="I242" s="74"/>
    </row>
    <row r="243">
      <c r="A243" s="77">
        <v>6.0</v>
      </c>
      <c r="B243" s="78" t="s">
        <v>3175</v>
      </c>
      <c r="C243" s="78" t="s">
        <v>3176</v>
      </c>
      <c r="D243" s="78" t="s">
        <v>3177</v>
      </c>
      <c r="E243" s="78"/>
      <c r="F243" s="95" t="s">
        <v>8</v>
      </c>
      <c r="G243" s="78"/>
      <c r="H243" s="78"/>
      <c r="I243" s="74"/>
    </row>
    <row r="244">
      <c r="A244" s="77">
        <v>7.0</v>
      </c>
      <c r="B244" s="78" t="s">
        <v>3178</v>
      </c>
      <c r="C244" s="78" t="s">
        <v>3179</v>
      </c>
      <c r="D244" s="78" t="s">
        <v>3180</v>
      </c>
      <c r="E244" s="78"/>
      <c r="F244" s="95" t="s">
        <v>8</v>
      </c>
      <c r="G244" s="78"/>
      <c r="H244" s="78"/>
      <c r="I244" s="74"/>
    </row>
    <row r="245">
      <c r="A245" s="77">
        <v>8.0</v>
      </c>
      <c r="B245" s="78" t="s">
        <v>3135</v>
      </c>
      <c r="C245" s="78" t="s">
        <v>3181</v>
      </c>
      <c r="D245" s="78" t="s">
        <v>3182</v>
      </c>
      <c r="E245" s="78"/>
      <c r="F245" s="95" t="s">
        <v>8</v>
      </c>
      <c r="G245" s="78"/>
      <c r="H245" s="78"/>
      <c r="I245" s="74"/>
    </row>
    <row r="246" ht="15.75" customHeight="1">
      <c r="A246" s="66" t="s">
        <v>59</v>
      </c>
      <c r="B246" s="91"/>
      <c r="C246" s="91"/>
      <c r="D246" s="67"/>
      <c r="E246" s="79"/>
      <c r="F246" s="103"/>
      <c r="G246" s="80"/>
      <c r="H246" s="80"/>
      <c r="I246" s="80"/>
    </row>
    <row r="247">
      <c r="A247" s="77">
        <v>1.0</v>
      </c>
      <c r="B247" s="78" t="s">
        <v>2420</v>
      </c>
      <c r="C247" s="78" t="s">
        <v>2421</v>
      </c>
      <c r="D247" s="78" t="s">
        <v>2422</v>
      </c>
      <c r="E247" s="74"/>
      <c r="F247" s="72" t="s">
        <v>8</v>
      </c>
      <c r="G247" s="74"/>
      <c r="H247" s="74"/>
      <c r="I247" s="74"/>
    </row>
    <row r="248">
      <c r="A248" s="77">
        <v>2.0</v>
      </c>
      <c r="B248" s="78" t="s">
        <v>3183</v>
      </c>
      <c r="C248" s="78" t="s">
        <v>3184</v>
      </c>
      <c r="D248" s="78" t="s">
        <v>3185</v>
      </c>
      <c r="E248" s="74"/>
      <c r="F248" s="72" t="s">
        <v>8</v>
      </c>
      <c r="G248" s="74"/>
      <c r="H248" s="74"/>
      <c r="I248" s="74"/>
    </row>
    <row r="249">
      <c r="A249" s="77">
        <v>3.0</v>
      </c>
      <c r="B249" s="78" t="s">
        <v>3186</v>
      </c>
      <c r="C249" s="78" t="s">
        <v>3187</v>
      </c>
      <c r="D249" s="78" t="s">
        <v>3188</v>
      </c>
      <c r="E249" s="74"/>
      <c r="F249" s="72" t="s">
        <v>8</v>
      </c>
      <c r="G249" s="74"/>
      <c r="H249" s="74"/>
      <c r="I249" s="74"/>
    </row>
    <row r="250">
      <c r="A250" s="77">
        <v>4.0</v>
      </c>
      <c r="B250" s="78" t="s">
        <v>3189</v>
      </c>
      <c r="C250" s="78" t="s">
        <v>3190</v>
      </c>
      <c r="D250" s="78" t="s">
        <v>3191</v>
      </c>
      <c r="E250" s="74"/>
      <c r="F250" s="72" t="s">
        <v>8</v>
      </c>
      <c r="G250" s="74"/>
      <c r="H250" s="74"/>
      <c r="I250" s="74"/>
    </row>
    <row r="251">
      <c r="A251" s="77">
        <v>5.0</v>
      </c>
      <c r="B251" s="78" t="s">
        <v>3192</v>
      </c>
      <c r="C251" s="78" t="s">
        <v>3193</v>
      </c>
      <c r="D251" s="78" t="s">
        <v>3194</v>
      </c>
      <c r="E251" s="74"/>
      <c r="F251" s="72" t="s">
        <v>8</v>
      </c>
      <c r="G251" s="74"/>
      <c r="H251" s="74"/>
      <c r="I251" s="74"/>
    </row>
    <row r="252">
      <c r="A252" s="77">
        <v>6.0</v>
      </c>
      <c r="B252" s="78" t="s">
        <v>3195</v>
      </c>
      <c r="C252" s="78" t="s">
        <v>3196</v>
      </c>
      <c r="D252" s="78" t="s">
        <v>3197</v>
      </c>
      <c r="E252" s="74"/>
      <c r="F252" s="72" t="s">
        <v>8</v>
      </c>
      <c r="G252" s="74"/>
      <c r="H252" s="74"/>
      <c r="I252" s="74"/>
    </row>
    <row r="253">
      <c r="A253" s="77">
        <v>7.0</v>
      </c>
      <c r="B253" s="78" t="s">
        <v>3198</v>
      </c>
      <c r="C253" s="78" t="s">
        <v>3199</v>
      </c>
      <c r="D253" s="78" t="s">
        <v>3200</v>
      </c>
      <c r="E253" s="74"/>
      <c r="F253" s="75" t="s">
        <v>8</v>
      </c>
      <c r="G253" s="74"/>
      <c r="H253" s="74"/>
      <c r="I253" s="74"/>
    </row>
    <row r="254">
      <c r="A254" s="77">
        <v>8.0</v>
      </c>
      <c r="B254" s="78" t="s">
        <v>3201</v>
      </c>
      <c r="C254" s="78" t="s">
        <v>3202</v>
      </c>
      <c r="D254" s="78" t="s">
        <v>3203</v>
      </c>
      <c r="E254" s="83"/>
      <c r="F254" s="72" t="s">
        <v>8</v>
      </c>
      <c r="G254" s="83"/>
      <c r="H254" s="83"/>
      <c r="I254" s="83"/>
    </row>
    <row r="255">
      <c r="A255" s="77">
        <v>9.0</v>
      </c>
      <c r="B255" s="71" t="s">
        <v>3204</v>
      </c>
      <c r="C255" s="71" t="s">
        <v>3205</v>
      </c>
      <c r="D255" s="71" t="s">
        <v>3206</v>
      </c>
      <c r="E255" s="83"/>
      <c r="F255" s="72" t="s">
        <v>8</v>
      </c>
      <c r="G255" s="83"/>
      <c r="H255" s="83"/>
      <c r="I255" s="83"/>
    </row>
    <row r="256">
      <c r="A256" s="77">
        <v>10.0</v>
      </c>
      <c r="B256" s="71" t="s">
        <v>3207</v>
      </c>
      <c r="C256" s="71" t="s">
        <v>3208</v>
      </c>
      <c r="D256" s="71" t="s">
        <v>3209</v>
      </c>
      <c r="E256" s="83" t="s">
        <v>3210</v>
      </c>
      <c r="F256" s="75" t="s">
        <v>8</v>
      </c>
      <c r="G256" s="83"/>
      <c r="H256" s="83"/>
      <c r="I256" s="83"/>
    </row>
    <row r="257">
      <c r="A257" s="77">
        <v>11.0</v>
      </c>
      <c r="B257" s="71" t="s">
        <v>3211</v>
      </c>
      <c r="C257" s="71" t="s">
        <v>3212</v>
      </c>
      <c r="D257" s="71" t="s">
        <v>3213</v>
      </c>
      <c r="E257" s="83" t="s">
        <v>3210</v>
      </c>
      <c r="F257" s="75" t="s">
        <v>8</v>
      </c>
      <c r="G257" s="83"/>
      <c r="H257" s="83"/>
      <c r="I257" s="83"/>
    </row>
    <row r="258">
      <c r="A258" s="77">
        <v>12.0</v>
      </c>
      <c r="B258" s="71" t="s">
        <v>3214</v>
      </c>
      <c r="C258" s="71" t="s">
        <v>3215</v>
      </c>
      <c r="D258" s="71" t="s">
        <v>3216</v>
      </c>
      <c r="E258" s="83" t="s">
        <v>3210</v>
      </c>
      <c r="F258" s="75" t="s">
        <v>8</v>
      </c>
      <c r="G258" s="83"/>
      <c r="H258" s="83"/>
      <c r="I258" s="83"/>
    </row>
    <row r="259">
      <c r="A259" s="77">
        <v>13.0</v>
      </c>
      <c r="B259" s="71" t="s">
        <v>3217</v>
      </c>
      <c r="C259" s="71" t="s">
        <v>3218</v>
      </c>
      <c r="D259" s="71" t="s">
        <v>3219</v>
      </c>
      <c r="E259" s="83"/>
      <c r="F259" s="72" t="s">
        <v>8</v>
      </c>
      <c r="G259" s="83"/>
      <c r="H259" s="83"/>
      <c r="I259" s="83"/>
    </row>
    <row r="260">
      <c r="A260" s="77">
        <v>14.0</v>
      </c>
      <c r="B260" s="71" t="s">
        <v>3220</v>
      </c>
      <c r="C260" s="71" t="s">
        <v>3221</v>
      </c>
      <c r="D260" s="71" t="s">
        <v>3222</v>
      </c>
      <c r="E260" s="83" t="s">
        <v>3210</v>
      </c>
      <c r="F260" s="75" t="s">
        <v>8</v>
      </c>
      <c r="G260" s="83"/>
      <c r="H260" s="83"/>
      <c r="I260" s="83"/>
    </row>
    <row r="261">
      <c r="A261" s="77">
        <v>16.0</v>
      </c>
      <c r="B261" s="78" t="s">
        <v>3223</v>
      </c>
      <c r="C261" s="78" t="s">
        <v>3224</v>
      </c>
      <c r="D261" s="78" t="s">
        <v>3225</v>
      </c>
      <c r="E261" s="83"/>
      <c r="F261" s="75" t="s">
        <v>8</v>
      </c>
      <c r="G261" s="83"/>
      <c r="H261" s="83"/>
      <c r="I261" s="83"/>
    </row>
    <row r="262">
      <c r="A262" s="77">
        <v>17.0</v>
      </c>
      <c r="B262" s="78" t="s">
        <v>3226</v>
      </c>
      <c r="C262" s="78" t="s">
        <v>3227</v>
      </c>
      <c r="D262" s="78" t="s">
        <v>3228</v>
      </c>
      <c r="E262" s="83"/>
      <c r="F262" s="75" t="s">
        <v>8</v>
      </c>
      <c r="G262" s="83"/>
      <c r="H262" s="83"/>
      <c r="I262" s="83"/>
    </row>
    <row r="263">
      <c r="A263" s="77">
        <v>18.0</v>
      </c>
      <c r="B263" s="78" t="s">
        <v>3229</v>
      </c>
      <c r="C263" s="78" t="s">
        <v>3230</v>
      </c>
      <c r="D263" s="78" t="s">
        <v>3231</v>
      </c>
      <c r="E263" s="83"/>
      <c r="F263" s="75" t="s">
        <v>8</v>
      </c>
      <c r="G263" s="83"/>
      <c r="H263" s="83"/>
      <c r="I263" s="83"/>
    </row>
    <row r="264">
      <c r="A264" s="77">
        <v>19.0</v>
      </c>
      <c r="B264" s="78" t="s">
        <v>3232</v>
      </c>
      <c r="C264" s="78" t="s">
        <v>3233</v>
      </c>
      <c r="D264" s="78" t="s">
        <v>3234</v>
      </c>
      <c r="E264" s="83"/>
      <c r="F264" s="75" t="s">
        <v>8</v>
      </c>
      <c r="G264" s="83"/>
      <c r="H264" s="83"/>
      <c r="I264" s="83"/>
    </row>
    <row r="265">
      <c r="A265" s="77">
        <v>20.0</v>
      </c>
      <c r="B265" s="78" t="s">
        <v>3235</v>
      </c>
      <c r="C265" s="78" t="s">
        <v>3236</v>
      </c>
      <c r="D265" s="78" t="s">
        <v>3237</v>
      </c>
      <c r="E265" s="83"/>
      <c r="F265" s="75" t="s">
        <v>8</v>
      </c>
      <c r="G265" s="83"/>
      <c r="H265" s="83"/>
      <c r="I265" s="83"/>
    </row>
    <row r="266">
      <c r="A266" s="77">
        <v>21.0</v>
      </c>
      <c r="B266" s="78" t="s">
        <v>3238</v>
      </c>
      <c r="C266" s="78" t="s">
        <v>3239</v>
      </c>
      <c r="D266" s="78" t="s">
        <v>3240</v>
      </c>
      <c r="E266" s="83"/>
      <c r="F266" s="75" t="s">
        <v>8</v>
      </c>
      <c r="G266" s="83"/>
      <c r="H266" s="83"/>
      <c r="I266" s="83"/>
    </row>
    <row r="267">
      <c r="A267" s="77">
        <v>22.0</v>
      </c>
      <c r="B267" s="78" t="s">
        <v>3241</v>
      </c>
      <c r="C267" s="78" t="s">
        <v>3242</v>
      </c>
      <c r="D267" s="78" t="s">
        <v>3243</v>
      </c>
      <c r="E267" s="83"/>
      <c r="F267" s="75" t="s">
        <v>8</v>
      </c>
      <c r="G267" s="83"/>
      <c r="H267" s="83"/>
      <c r="I267" s="83"/>
    </row>
    <row r="268">
      <c r="A268" s="77">
        <v>23.0</v>
      </c>
      <c r="B268" s="78" t="s">
        <v>3244</v>
      </c>
      <c r="C268" s="78" t="s">
        <v>3245</v>
      </c>
      <c r="D268" s="78" t="s">
        <v>3246</v>
      </c>
      <c r="E268" s="83"/>
      <c r="F268" s="75" t="s">
        <v>8</v>
      </c>
      <c r="G268" s="83"/>
      <c r="H268" s="83"/>
      <c r="I268" s="83"/>
    </row>
    <row r="269">
      <c r="A269" s="77">
        <v>24.0</v>
      </c>
      <c r="B269" s="78" t="s">
        <v>3247</v>
      </c>
      <c r="C269" s="78" t="s">
        <v>3248</v>
      </c>
      <c r="D269" s="78" t="s">
        <v>3249</v>
      </c>
      <c r="E269" s="83"/>
      <c r="F269" s="75" t="s">
        <v>8</v>
      </c>
      <c r="G269" s="83"/>
      <c r="H269" s="83"/>
      <c r="I269" s="83"/>
    </row>
    <row r="270">
      <c r="A270" s="77">
        <v>25.0</v>
      </c>
      <c r="B270" s="78" t="s">
        <v>3250</v>
      </c>
      <c r="C270" s="78" t="s">
        <v>3251</v>
      </c>
      <c r="D270" s="78" t="s">
        <v>3252</v>
      </c>
      <c r="E270" s="83"/>
      <c r="F270" s="75" t="s">
        <v>8</v>
      </c>
      <c r="G270" s="83"/>
      <c r="H270" s="83"/>
      <c r="I270" s="83"/>
    </row>
    <row r="271">
      <c r="A271" s="77">
        <v>26.0</v>
      </c>
      <c r="B271" s="148" t="s">
        <v>3253</v>
      </c>
      <c r="C271" s="78" t="s">
        <v>3254</v>
      </c>
      <c r="D271" s="78" t="s">
        <v>3255</v>
      </c>
      <c r="E271" s="83"/>
      <c r="F271" s="75" t="s">
        <v>8</v>
      </c>
      <c r="G271" s="83"/>
      <c r="H271" s="83"/>
      <c r="I271" s="83"/>
    </row>
    <row r="272">
      <c r="A272" s="77">
        <v>27.0</v>
      </c>
      <c r="B272" s="78" t="s">
        <v>3256</v>
      </c>
      <c r="C272" s="78" t="s">
        <v>3257</v>
      </c>
      <c r="D272" s="78" t="s">
        <v>3258</v>
      </c>
      <c r="E272" s="78"/>
      <c r="F272" s="75" t="s">
        <v>8</v>
      </c>
      <c r="G272" s="74"/>
      <c r="H272" s="74"/>
      <c r="I272" s="74"/>
    </row>
    <row r="273">
      <c r="A273" s="77">
        <v>28.0</v>
      </c>
      <c r="B273" s="78" t="s">
        <v>3259</v>
      </c>
      <c r="C273" s="78" t="s">
        <v>3260</v>
      </c>
      <c r="D273" s="78" t="s">
        <v>3261</v>
      </c>
      <c r="E273" s="78"/>
      <c r="F273" s="75" t="s">
        <v>8</v>
      </c>
      <c r="G273" s="74"/>
      <c r="H273" s="74"/>
      <c r="I273" s="74"/>
    </row>
    <row r="274">
      <c r="A274" s="77">
        <v>29.0</v>
      </c>
      <c r="B274" s="78" t="s">
        <v>3262</v>
      </c>
      <c r="C274" s="78" t="s">
        <v>3263</v>
      </c>
      <c r="D274" s="78" t="s">
        <v>3264</v>
      </c>
      <c r="E274" s="78"/>
      <c r="F274" s="75" t="s">
        <v>8</v>
      </c>
      <c r="G274" s="74"/>
      <c r="H274" s="74"/>
      <c r="I274" s="74"/>
    </row>
    <row r="275">
      <c r="A275" s="77">
        <v>30.0</v>
      </c>
      <c r="B275" s="78" t="s">
        <v>3265</v>
      </c>
      <c r="C275" s="78" t="s">
        <v>3266</v>
      </c>
      <c r="D275" s="78" t="s">
        <v>3267</v>
      </c>
      <c r="E275" s="78"/>
      <c r="F275" s="75" t="s">
        <v>8</v>
      </c>
      <c r="G275" s="74"/>
      <c r="H275" s="74"/>
      <c r="I275" s="74"/>
    </row>
    <row r="276">
      <c r="A276" s="77">
        <v>31.0</v>
      </c>
      <c r="B276" s="78" t="s">
        <v>3268</v>
      </c>
      <c r="C276" s="78" t="s">
        <v>3269</v>
      </c>
      <c r="D276" s="78" t="s">
        <v>3270</v>
      </c>
      <c r="E276" s="78"/>
      <c r="F276" s="75" t="s">
        <v>8</v>
      </c>
      <c r="G276" s="74"/>
      <c r="H276" s="74"/>
      <c r="I276" s="74"/>
    </row>
    <row r="277">
      <c r="A277" s="77">
        <v>32.0</v>
      </c>
      <c r="B277" s="148" t="s">
        <v>3271</v>
      </c>
      <c r="C277" s="78" t="s">
        <v>3272</v>
      </c>
      <c r="D277" s="78" t="s">
        <v>3273</v>
      </c>
      <c r="E277" s="78"/>
      <c r="F277" s="75" t="s">
        <v>8</v>
      </c>
      <c r="G277" s="74"/>
      <c r="H277" s="74"/>
      <c r="I277" s="74"/>
    </row>
    <row r="278">
      <c r="A278" s="77">
        <v>33.0</v>
      </c>
      <c r="B278" s="78" t="s">
        <v>3274</v>
      </c>
      <c r="C278" s="78" t="s">
        <v>3275</v>
      </c>
      <c r="D278" s="78" t="s">
        <v>3276</v>
      </c>
      <c r="E278" s="74"/>
      <c r="F278" s="75" t="s">
        <v>8</v>
      </c>
      <c r="G278" s="74"/>
      <c r="H278" s="74"/>
      <c r="I278" s="74"/>
    </row>
    <row r="279">
      <c r="A279" s="77">
        <v>34.0</v>
      </c>
      <c r="B279" s="78" t="s">
        <v>3277</v>
      </c>
      <c r="C279" s="78" t="s">
        <v>3278</v>
      </c>
      <c r="D279" s="78" t="s">
        <v>3279</v>
      </c>
      <c r="E279" s="74"/>
      <c r="F279" s="75" t="s">
        <v>8</v>
      </c>
      <c r="G279" s="74"/>
      <c r="H279" s="74"/>
      <c r="I279" s="74"/>
    </row>
    <row r="280">
      <c r="A280" s="77">
        <v>35.0</v>
      </c>
      <c r="B280" s="78" t="s">
        <v>3280</v>
      </c>
      <c r="C280" s="78" t="s">
        <v>3281</v>
      </c>
      <c r="D280" s="78" t="s">
        <v>3282</v>
      </c>
      <c r="E280" s="78"/>
      <c r="F280" s="75" t="s">
        <v>8</v>
      </c>
      <c r="G280" s="74"/>
      <c r="H280" s="74"/>
      <c r="I280" s="74"/>
    </row>
    <row r="281">
      <c r="A281" s="77">
        <v>36.0</v>
      </c>
      <c r="B281" s="148" t="s">
        <v>3283</v>
      </c>
      <c r="C281" s="78" t="s">
        <v>3284</v>
      </c>
      <c r="D281" s="78" t="s">
        <v>3285</v>
      </c>
      <c r="E281" s="78"/>
      <c r="F281" s="75" t="s">
        <v>8</v>
      </c>
      <c r="G281" s="74"/>
      <c r="H281" s="74"/>
      <c r="I281" s="74"/>
    </row>
    <row r="282">
      <c r="A282" s="77">
        <v>37.0</v>
      </c>
      <c r="B282" s="78" t="s">
        <v>3286</v>
      </c>
      <c r="C282" s="78" t="s">
        <v>3287</v>
      </c>
      <c r="D282" s="78" t="s">
        <v>3288</v>
      </c>
      <c r="E282" s="78"/>
      <c r="F282" s="75" t="s">
        <v>8</v>
      </c>
      <c r="G282" s="74"/>
      <c r="H282" s="74"/>
      <c r="I282" s="74"/>
    </row>
    <row r="283">
      <c r="A283" s="77">
        <v>38.0</v>
      </c>
      <c r="B283" s="93" t="s">
        <v>3289</v>
      </c>
      <c r="C283" s="93" t="s">
        <v>3290</v>
      </c>
      <c r="D283" s="93" t="s">
        <v>3291</v>
      </c>
      <c r="E283" s="96"/>
      <c r="F283" s="75" t="s">
        <v>8</v>
      </c>
      <c r="G283" s="73"/>
      <c r="H283" s="73"/>
      <c r="I283" s="73"/>
    </row>
    <row r="284">
      <c r="A284" s="77">
        <v>39.0</v>
      </c>
      <c r="B284" s="93" t="s">
        <v>3292</v>
      </c>
      <c r="C284" s="93" t="s">
        <v>3293</v>
      </c>
      <c r="D284" s="93" t="s">
        <v>3294</v>
      </c>
      <c r="E284" s="96"/>
      <c r="F284" s="75" t="s">
        <v>8</v>
      </c>
      <c r="G284" s="73"/>
      <c r="H284" s="73"/>
      <c r="I284" s="73"/>
    </row>
    <row r="285">
      <c r="A285" s="77">
        <v>40.0</v>
      </c>
      <c r="B285" s="93" t="s">
        <v>3295</v>
      </c>
      <c r="C285" s="93" t="s">
        <v>3296</v>
      </c>
      <c r="D285" s="93" t="s">
        <v>3297</v>
      </c>
      <c r="E285" s="96"/>
      <c r="F285" s="75" t="s">
        <v>8</v>
      </c>
      <c r="G285" s="73"/>
      <c r="H285" s="73"/>
      <c r="I285" s="73"/>
    </row>
    <row r="286">
      <c r="A286" s="77">
        <v>41.0</v>
      </c>
      <c r="B286" s="93" t="s">
        <v>3298</v>
      </c>
      <c r="C286" s="93" t="s">
        <v>3299</v>
      </c>
      <c r="D286" s="93" t="s">
        <v>3300</v>
      </c>
      <c r="E286" s="96"/>
      <c r="F286" s="75" t="s">
        <v>8</v>
      </c>
      <c r="G286" s="73"/>
      <c r="H286" s="73"/>
      <c r="I286" s="73"/>
    </row>
    <row r="287">
      <c r="A287" s="77">
        <v>42.0</v>
      </c>
      <c r="B287" s="93" t="s">
        <v>3301</v>
      </c>
      <c r="C287" s="93" t="s">
        <v>3302</v>
      </c>
      <c r="D287" s="93" t="s">
        <v>3303</v>
      </c>
      <c r="E287" s="96"/>
      <c r="F287" s="75" t="s">
        <v>8</v>
      </c>
      <c r="G287" s="73"/>
      <c r="H287" s="73"/>
      <c r="I287" s="73"/>
    </row>
    <row r="288">
      <c r="A288" s="77">
        <v>43.0</v>
      </c>
      <c r="B288" s="93" t="s">
        <v>3304</v>
      </c>
      <c r="C288" s="93" t="s">
        <v>3305</v>
      </c>
      <c r="D288" s="93" t="s">
        <v>3306</v>
      </c>
      <c r="E288" s="96"/>
      <c r="F288" s="75" t="s">
        <v>8</v>
      </c>
      <c r="G288" s="73"/>
      <c r="H288" s="73"/>
      <c r="I288" s="73"/>
    </row>
    <row r="289">
      <c r="A289" s="77">
        <v>45.0</v>
      </c>
      <c r="B289" s="93" t="s">
        <v>3307</v>
      </c>
      <c r="C289" s="93" t="s">
        <v>3308</v>
      </c>
      <c r="D289" s="93" t="s">
        <v>3309</v>
      </c>
      <c r="E289" s="96"/>
      <c r="F289" s="75" t="s">
        <v>8</v>
      </c>
      <c r="G289" s="73"/>
      <c r="H289" s="73"/>
      <c r="I289" s="73"/>
    </row>
    <row r="290">
      <c r="A290" s="77">
        <v>46.0</v>
      </c>
      <c r="B290" s="93" t="s">
        <v>3310</v>
      </c>
      <c r="C290" s="93" t="s">
        <v>3311</v>
      </c>
      <c r="D290" s="93" t="s">
        <v>3312</v>
      </c>
      <c r="E290" s="96"/>
      <c r="F290" s="75" t="s">
        <v>8</v>
      </c>
      <c r="G290" s="73"/>
      <c r="H290" s="73"/>
      <c r="I290" s="73"/>
    </row>
    <row r="291">
      <c r="A291" s="77">
        <v>47.0</v>
      </c>
      <c r="B291" s="93" t="s">
        <v>3313</v>
      </c>
      <c r="C291" s="93" t="s">
        <v>3314</v>
      </c>
      <c r="D291" s="93" t="s">
        <v>3315</v>
      </c>
      <c r="E291" s="96"/>
      <c r="F291" s="75" t="s">
        <v>8</v>
      </c>
      <c r="G291" s="73"/>
      <c r="H291" s="73"/>
      <c r="I291" s="73"/>
    </row>
    <row r="292">
      <c r="A292" s="77">
        <v>48.0</v>
      </c>
      <c r="B292" s="82" t="s">
        <v>3316</v>
      </c>
      <c r="C292" s="82" t="s">
        <v>3317</v>
      </c>
      <c r="D292" s="82" t="s">
        <v>3318</v>
      </c>
      <c r="E292" s="96"/>
      <c r="F292" s="72" t="s">
        <v>7</v>
      </c>
      <c r="G292" s="73"/>
      <c r="H292" s="73"/>
      <c r="I292" s="73"/>
    </row>
    <row r="293">
      <c r="A293" s="77">
        <v>49.0</v>
      </c>
      <c r="B293" s="78" t="s">
        <v>3319</v>
      </c>
      <c r="C293" s="78" t="s">
        <v>3320</v>
      </c>
      <c r="D293" s="78" t="s">
        <v>3321</v>
      </c>
      <c r="E293" s="72"/>
      <c r="F293" s="72" t="s">
        <v>7</v>
      </c>
      <c r="G293" s="72"/>
      <c r="H293" s="72"/>
      <c r="I293" s="72"/>
    </row>
    <row r="294">
      <c r="A294" s="77">
        <v>50.0</v>
      </c>
      <c r="B294" s="78" t="s">
        <v>3322</v>
      </c>
      <c r="C294" s="78" t="s">
        <v>3323</v>
      </c>
      <c r="D294" s="78" t="s">
        <v>3324</v>
      </c>
      <c r="E294" s="77"/>
      <c r="F294" s="72" t="s">
        <v>7</v>
      </c>
      <c r="G294" s="72"/>
      <c r="H294" s="72"/>
      <c r="I294" s="72"/>
    </row>
    <row r="295">
      <c r="A295" s="77">
        <v>51.0</v>
      </c>
      <c r="B295" s="78" t="s">
        <v>3325</v>
      </c>
      <c r="C295" s="78" t="s">
        <v>3326</v>
      </c>
      <c r="D295" s="78" t="s">
        <v>3327</v>
      </c>
      <c r="E295" s="77"/>
      <c r="F295" s="72" t="s">
        <v>7</v>
      </c>
      <c r="G295" s="72"/>
      <c r="H295" s="72"/>
      <c r="I295" s="72"/>
    </row>
  </sheetData>
  <mergeCells count="18">
    <mergeCell ref="A3:B3"/>
    <mergeCell ref="A4:B4"/>
    <mergeCell ref="A15:H15"/>
    <mergeCell ref="A29:H29"/>
    <mergeCell ref="A58:H58"/>
    <mergeCell ref="A83:H83"/>
    <mergeCell ref="A91:H91"/>
    <mergeCell ref="A226:D226"/>
    <mergeCell ref="A232:D232"/>
    <mergeCell ref="A237:D237"/>
    <mergeCell ref="A246:D246"/>
    <mergeCell ref="A105:H105"/>
    <mergeCell ref="A112:D112"/>
    <mergeCell ref="A117:D117"/>
    <mergeCell ref="A138:D138"/>
    <mergeCell ref="A150:D150"/>
    <mergeCell ref="A170:D170"/>
    <mergeCell ref="A208:D208"/>
  </mergeCells>
  <conditionalFormatting sqref="F5:F14 F16:F28 F30:F57 F59:F82 F84:F90 F92:F104 F106:F295">
    <cfRule type="containsText" dxfId="3" priority="1" operator="containsText" text="NOT YET STARTED">
      <formula>NOT(ISERROR(SEARCH(("NOT YET STARTED"),(F5))))</formula>
    </cfRule>
  </conditionalFormatting>
  <conditionalFormatting sqref="F5:F14 F16:F28 F30:F57 F59:F82 F84:F90 F92:F104 F106:F295">
    <cfRule type="containsText" dxfId="2" priority="2" operator="containsText" text="PASSED">
      <formula>NOT(ISERROR(SEARCH(("PASSED"),(F5))))</formula>
    </cfRule>
  </conditionalFormatting>
  <conditionalFormatting sqref="F5:F14 F16:F28 F30:F57 F59:F82 F84:F90 F92:F104 F106:F295">
    <cfRule type="containsText" dxfId="1" priority="3" operator="containsText" text="FAILED">
      <formula>NOT(ISERROR(SEARCH(("FAILED"),(F5))))</formula>
    </cfRule>
  </conditionalFormatting>
  <conditionalFormatting sqref="F5:F14 F16:F28 F30:F57 F59:F82 F84:F90 F92:F104 F106:F295">
    <cfRule type="containsText" dxfId="0" priority="4" operator="containsText" text="RE-TEST">
      <formula>NOT(ISERROR(SEARCH(("RE-TEST"),(F5))))</formula>
    </cfRule>
  </conditionalFormatting>
  <dataValidations>
    <dataValidation type="list" allowBlank="1" showErrorMessage="1" sqref="F5:F14 F16:F28 F30:F57 F59:F82 F84:F90 F92:F104 F106:F111 F113:F116 F118:F137 F139:F149 F151:F169 F171:F207 F209:F225 F227:F231 F233:F236 F238:F245 F247:F295">
      <formula1>"Not Started,Passed,Failed,Re-Test,Blocked/Skip"</formula1>
    </dataValidation>
  </dataValidation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2021-06-10T12:15:51Z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0x01010070304610ACDFD9469FC7FCD016139A7B</vt:lpwstr>
  </property>
</Properties>
</file>